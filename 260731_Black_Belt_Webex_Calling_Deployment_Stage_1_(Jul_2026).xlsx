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updateLinks="never" codeName="ThisWorkbook"/>
  <mc:AlternateContent xmlns:mc="http://schemas.openxmlformats.org/markup-compatibility/2006">
    <mc:Choice Requires="x15">
      <x15ac:absPath xmlns:x15ac="http://schemas.microsoft.com/office/spreadsheetml/2010/11/ac" url="/Users/rahula2/Desktop/webex calling deployment tracks/stage 1/"/>
    </mc:Choice>
  </mc:AlternateContent>
  <xr:revisionPtr revIDLastSave="3" documentId="13_ncr:1_{B006F5B4-6925-5A4A-A7BE-98FD34860B64}" xr6:coauthVersionLast="47" xr6:coauthVersionMax="47" xr10:uidLastSave="{E99AE821-636E-4913-A578-79E89515A6E0}"/>
  <bookViews>
    <workbookView xWindow="0" yWindow="660" windowWidth="30240" windowHeight="17980"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A12" i="7" a="1"/>
  <c r="F14" i="6"/>
  <c r="B12" i="6" l="1"/>
  <c r="K18" i="6" a="1"/>
  <c r="H18" i="6" a="1"/>
  <c r="J18" i="6" a="1"/>
  <c r="I18" i="6"/>
  <c r="F18" i="6" a="1"/>
  <c r="E18" i="6"/>
  <c r="D18" i="6"/>
  <c r="C18" i="6"/>
  <c r="G18" i="6"/>
  <c r="B18" i="6" a="1"/>
  <c r="A18" i="6" a="1"/>
  <c r="C16" i="6" l="1"/>
  <c r="A11" i="6" l="1"/>
  <c r="AA515" i="6" l="1"/>
  <c r="AA519" i="6" s="1"/>
  <c r="AA514" i="6"/>
  <c r="AA518" i="6" s="1"/>
  <c r="AA516" i="6"/>
  <c r="AA520" i="6" s="1"/>
  <c r="C11" i="6"/>
  <c r="E11" i="6" s="1"/>
  <c r="B4" i="6" a="1"/>
  <c r="BD501" i="6" a="1"/>
  <c r="BC501" i="6" a="1"/>
  <c r="BB501" i="6" a="1"/>
  <c r="BA501" i="6" a="1"/>
  <c r="AZ501" i="6" a="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B4" i="7"/>
  <c r="D3" i="7"/>
  <c r="E3" i="7"/>
  <c r="C3" i="7" a="1"/>
  <c r="F4" i="7"/>
  <c r="A3" i="7"/>
  <c r="C4" i="7"/>
  <c r="D4" i="7"/>
  <c r="E4" i="7"/>
  <c r="A12" i="7"/>
  <c r="F3" i="7"/>
  <c r="C3" i="7"/>
  <c r="BD501" i="6"/>
  <c r="BC501" i="6"/>
  <c r="BB501" i="6"/>
  <c r="BA501" i="6"/>
  <c r="AZ501" i="6"/>
  <c r="K18" i="6"/>
  <c r="J18" i="6"/>
  <c r="H18" i="6"/>
  <c r="F18" i="6"/>
  <c r="B18" i="6"/>
  <c r="A18" i="6"/>
  <c r="M14" i="6"/>
  <c r="B4"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<sst xmlns="http://schemas.openxmlformats.org/spreadsheetml/2006/main" count="1382" uniqueCount="751">
  <si>
    <t>Mindtickle Series Template v3</t>
  </si>
  <si>
    <t>Series Title</t>
  </si>
  <si>
    <t>Generated</t>
  </si>
  <si>
    <t>Description</t>
  </si>
  <si>
    <t>This series establishes the technical foundation for Webex Calling deployments. It covers the cloud-first architecture, license management, and initial environment provisioning, enabling partners to move from Proof of Concept to a stable, production-ready deployment.</t>
  </si>
  <si>
    <t>**Note, this is a non-final static preview. The Partner 360 logo will be included based on your selection.**</t>
  </si>
  <si>
    <t>Program Track</t>
  </si>
  <si>
    <t>Webex Calling</t>
  </si>
  <si>
    <t>Track</t>
  </si>
  <si>
    <t>Deployment</t>
  </si>
  <si>
    <t>Stage</t>
  </si>
  <si>
    <t>Stage 1</t>
  </si>
  <si>
    <t>Persona</t>
  </si>
  <si>
    <t>Partner</t>
  </si>
  <si>
    <t>Language</t>
  </si>
  <si>
    <t>English</t>
  </si>
  <si>
    <t>Legend</t>
  </si>
  <si>
    <t>Info not required</t>
  </si>
  <si>
    <t>Duration (mins)</t>
  </si>
  <si>
    <t>BE</t>
  </si>
  <si>
    <t>Collaboration</t>
  </si>
  <si>
    <t>Sub BE</t>
  </si>
  <si>
    <t>Other</t>
  </si>
  <si>
    <t>Category</t>
  </si>
  <si>
    <t>Request Type</t>
  </si>
  <si>
    <t>Update</t>
  </si>
  <si>
    <t>Missing or inaccurate info</t>
  </si>
  <si>
    <t>Caution</t>
  </si>
  <si>
    <t>Series Owners</t>
  </si>
  <si>
    <t>rahula2,anuniyal</t>
  </si>
  <si>
    <t>Certificate</t>
  </si>
  <si>
    <t>Yes</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</si>
  <si>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</si>
  <si>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</si>
  <si>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</si>
  <si>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</si>
  <si>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</si>
  <si>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</si>
  <si>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</si>
  <si>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</si>
  <si>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</si>
  <si>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</si>
  <si>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</si>
  <si>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</si>
  <si>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</si>
  <si>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</si>
  <si>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</si>
  <si>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</si>
  <si>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</si>
  <si>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Webex Calling Architecture: Cloud-first design</t>
  </si>
  <si>
    <t>Optional</t>
  </si>
  <si>
    <t>Video</t>
  </si>
  <si>
    <t>Introduction to Webex calling</t>
  </si>
  <si>
    <t>Get a clear, high-level overview of the Webex Calling platform. This video traces the evolution of our calling strategy—from the Broadsoft acquisition to the modern, unified Cisco collaboration portfolio—and explains how we provide the flexibility to support both cloud and hybrid environments through a single, seamless experience.</t>
  </si>
  <si>
    <t>Introduction_to_Webex_calling.mp4</t>
  </si>
  <si>
    <t>SCORM</t>
  </si>
  <si>
    <t>Webex Calling Architecture Overview</t>
  </si>
  <si>
    <t xml:space="preserve">This module provides a comprehensive overview of the two primary architectures available in Webex Calling: Multi-tenant and Dedicated Instance. </t>
  </si>
  <si>
    <t>Webex_Calling_Architecture_Overview.zip</t>
  </si>
  <si>
    <t>https://cisco.sharepoint.com/Sites/CiscoBlackBeltPartnerAcademy/_layouts/15/stream.aspx?id=%2FSites%2FCiscoBlackBeltPartnerAcademy%2FShared%20Documents%2FMindtickle%20Publishing%2FBlack_Belt_Collaboration_Deployment_Stage_1_%28Jul_2026%29%2FAdministration_with_Control_Hub%2Emp4</t>
  </si>
  <si>
    <t>Dedicated Instance: Architecture &amp; Use Cases</t>
  </si>
  <si>
    <t>Discover how Dedicated Instance (DI) brings the power of on-premises Cisco Unified Communications Manager (CUCM) into the cloud. This session explores key use cases, such as transitioning to an OpEx model and supporting complex hybrid deployments, while highlighting the architectural benefits of bridging your dedicated environment with the Webex multi-tenant site.</t>
  </si>
  <si>
    <t>Dedicated_Instance_Architecture_&amp;_Use_Cases.mp4</t>
  </si>
  <si>
    <t>Control Hub Mangement</t>
  </si>
  <si>
    <t>Administration with Control Hub</t>
  </si>
  <si>
    <t xml:space="preserve">Master your Webex Calling deployment with this overview of Control Hub. Learn how to centralize your management, leverage ThousandEyes for advanced troubleshooting, set up proactive call quality notifications, and implement granular, role-based administration to secure your environment.
</t>
  </si>
  <si>
    <t>Administration_with_Control_Hub.mp4</t>
  </si>
  <si>
    <t>https://cisco.sharepoint.com/Sites/CiscoBlackBeltPartnerAcademy/_layouts/15/stream.aspx?id=%2FSites%2FCiscoBlackBeltPartnerAcademy%2FShared%20Documents%2FMindtickle%20Publishing%2FBlack%5FBelt%5FCollaboration%5FDeployment%5FStage%5F1%5F%28Jul%5F2026%29%2FProvisioning%20Licensing%20%26%20Organization%20Setup%2Emp4&amp;referrer=StreamWebApp%2EWeb&amp;referrerScenario=AddressBarCopied%2Eview%2E81ca4122%2D7f2a%2D4b4d%2D841c%2Db403dc2ebf92</t>
  </si>
  <si>
    <t>Provisioning : Licensing &amp; Organization Setup</t>
  </si>
  <si>
    <t>Master the essentials of Webex organization setup. This video covers critical data residency requirements and clarifies how UCM and Unity calling integrate into Webex, ensuring you understand the licensing landscape without needing additional, separate Webex subscriptions.</t>
  </si>
  <si>
    <t>Provisioning_Licensing_&amp;_Organization_Setup.mp4</t>
  </si>
  <si>
    <t>https://cisco.sharepoint.com/Sites/CiscoBlackBeltPartnerAcademy/_layouts/15/stream.aspx?id=%2FSites%2FCiscoBlackBeltPartnerAcademy%2FShared%20Documents%2FMindtickle%20Publishing%2FBlack%5FBelt%5FCollaboration%5FDeployment%5FStage%5F1%5F%28Jul%5F2026%29%2FDomain%20Claiming%20%26%20User%20Onboarding%2Emp4&amp;referrer=StreamWebApp%2EWeb&amp;referrerScenario=AddressBarCopied%2Eview%2E929d2646%2D30f0%2D4bf3%2Dbf11%2D16ee96781ae6</t>
  </si>
  <si>
    <t>Domain Claiming &amp; User Onboarding</t>
  </si>
  <si>
    <t xml:space="preserve">Streamline your Webex deployment by mastering domain management and user onboarding. This video explains how to verify and claim domains to ensure organizational control, how to automate license assignments with templates, and how to simplify the user experience using Single Sign-On (SSO) and directory synchronization for seamless access.
</t>
  </si>
  <si>
    <t>Domain_Claiming_&amp;_User_Onboarding.mp4</t>
  </si>
  <si>
    <t>https://cisco.sharepoint.com/Sites/CiscoBlackBeltPartnerAcademy/_layouts/15/stream.aspx?id=%2FSites%2FCiscoBlackBeltPartnerAcademy%2FShared%20Documents%2FMindtickle%20Publishing%2FBlack_Belt_Collaboration_Deployment_Stage_1_%28Jul_2026%29%2FLocation%20Configuration%20Strategy%2Emp4</t>
  </si>
  <si>
    <t>Location Configuration Strategy</t>
  </si>
  <si>
    <t xml:space="preserve">Master site-specific management in Webex Control Hub. Learn to configure location-based requirements like PSTN breakout, manage main numbers, and implement delegated admin roles. Discover how to balance administrative productivity with security using enhanced roles and audit logs.
</t>
  </si>
  <si>
    <t>Location_Configuration_Strategy.mp4</t>
  </si>
  <si>
    <t>https://cisco.sharepoint.com/Sites/CiscoBlackBeltPartnerAcademy/_layouts/15/stream.aspx?id=%2FSites%2FCiscoBlackBeltPartnerAcademy%2FShared%20Documents%2FMindtickle%20Publishing%2FBlack%5FBelt%5FCollaboration%5FDeployment%5FStage%5F1%5F%28Jul%5F2026%29%2FEnabling%20User%20Calling%20Services%2Emp4&amp;referrer=StreamWebApp%2EWeb&amp;referrerScenario=AddressBarCopied%2Eview%2E02cecdfc%2Dd183%2D4542%2D8ef3%2Df5c67a8234c4</t>
  </si>
  <si>
    <t>Enabling User Calling Services</t>
  </si>
  <si>
    <t>This video shows you how to quickly provision a user for Webex Calling by assigning a directory number in Control Hub</t>
  </si>
  <si>
    <t>Enabling_User_Calling_Services.mp4</t>
  </si>
  <si>
    <t>https://cisco.sharepoint.com/Sites/CiscoBlackBeltPartnerAcademy/_layouts/15/stream.aspx?id=%2FSites%2FCiscoBlackBeltPartnerAcademy%2FShared%20Documents%2FMindtickle%20Publishing%2FBlack%5FBelt%5FCollaboration%5FDeployment%5FStage%5F1%5F%28Jul%5F2026%29%2FWebex%20App%20Deployment%20%26%20Configuration%2Emp4&amp;referrer=StreamWebApp%2EWeb&amp;referrerScenario=AddressBarCopied%2Eview%2E6385bdc3%2D41e2%2D45d5%2Dbb61%2D3d9f5ccf9147</t>
  </si>
  <si>
    <t>Webex App Deployment &amp; Configuration</t>
  </si>
  <si>
    <t xml:space="preserve">Upgrade your collaboration experience. This video highlights why the Webex App is the superior, AI-powered successor to Jabber. Learn how to manage enterprise calling—including UCM, Webex Calling, and BroadWorks—and simplify your infrastructure by configuring user services directly in Control Hub.
</t>
  </si>
  <si>
    <t>Webex_App_Deployment_&amp;_Configuration.mp4</t>
  </si>
  <si>
    <t xml:space="preserve">Migration Planning &amp; Readiness
</t>
  </si>
  <si>
    <t>The Migration Lifecycle</t>
  </si>
  <si>
    <t xml:space="preserve">Moving from UCM to Webex Calling isn't just a "lift and shift" process. This video explains why migrations are inherently complex and why you should avoid treating them as simple, automated tasks. Learn to apply the PPDIO (Prepare, Plan, Design, Implement, Optimize) lifecycle iteratively, focusing on "what you need" rather than just migrating legacy "tombstone" configurations from your existing UCM environment.
</t>
  </si>
  <si>
    <t>The_Migration_Lifecycle.mp4</t>
  </si>
  <si>
    <t>Network &amp; Security Readiness: Part 1</t>
  </si>
  <si>
    <t>Ensure network readiness for your Webex deployment. This video covers using the Cisco network requirements tool to map ports and protocols, verifying your DNS SRV records, and the critical requirement that internal and external voice domains must match for the Webex App.</t>
  </si>
  <si>
    <t>Network_&amp;_Security_Readiness_Part_1.mp4</t>
  </si>
  <si>
    <t>Network &amp; Security Readiness: Part 2</t>
  </si>
  <si>
    <t xml:space="preserve">Deepen your understanding of Webex network connectivity. This video covers critical technical requirements, including 802.1X access support, proxy configuration guidelines, and IPv6 roadmap updates. Reference these publicly available standards to ensure your environment is fully optimized for Webex App and physical device performance.
</t>
  </si>
  <si>
    <t>Network_&amp;_Security_Readiness_Part_2.mp4</t>
  </si>
  <si>
    <t xml:space="preserve">PSTN Connectivity Models
</t>
  </si>
  <si>
    <t>PSTN Service Options Overview</t>
  </si>
  <si>
    <t>Master your PSTN strategy for Webex Calling. This video compares the three primary connectivity options—On-premises, Cisco Calling Plans, and Cloud Connected PSTN—explaining how to manage migrations, configure local gateways, and leverage hybrid trunking to ensure seamless connectivity during your transition from UCM.</t>
  </si>
  <si>
    <t>PSTN_Service_Options_Overview.mp4</t>
  </si>
  <si>
    <t>Calling Regions and Media PoP</t>
  </si>
  <si>
    <t>Understand the global architecture of Webex Calling. This video explains how Webex instances are regionally anchored to your headquarters location—a choice that is fixed upon setup—and how Media Points of Presence (Media PoPs) are strategically deployed to minimize latency and keep media traffic local, even when call control is hosted in a different region.</t>
  </si>
  <si>
    <t>Calling_Regions_and_Media_PoP.mp4</t>
  </si>
  <si>
    <t>Location-Based Routing Considerations</t>
  </si>
  <si>
    <t xml:space="preserve">Master the complexities of location-based routing in Webex Calling. This video covers critical management tasks, including the manual update process for outbound proxies when new Media PoPs are added, the importance of configuring main numbers and voice portals, and how to implement internal dialing policies. Learn to navigate location-specific feature limitations and scaling guidelines to ensure a robust, enterprise-grade deployment.
</t>
  </si>
  <si>
    <t>Location-Based_Routing_Considerations.mp4</t>
  </si>
  <si>
    <t>Assessment</t>
  </si>
  <si>
    <t>Mandatory</t>
  </si>
  <si>
    <t>Black Belt Webex Calling Deployment Stage 1 Assessment</t>
  </si>
  <si>
    <t>260731_Black_Belt_Webex_Calling_Deployment_Stage_1_Assessment.xlsx</t>
  </si>
  <si>
    <t>Category (Architecture)</t>
  </si>
  <si>
    <t>PT to be used</t>
  </si>
  <si>
    <t>role</t>
  </si>
  <si>
    <t>bookings architecture</t>
  </si>
  <si>
    <t>Lang Code</t>
  </si>
  <si>
    <t>Business Entity</t>
  </si>
  <si>
    <t>Business Sub-Entity</t>
  </si>
  <si>
    <t>File Type</t>
  </si>
  <si>
    <t>Sub Criteria</t>
  </si>
  <si>
    <t>Cloud + AI Infrastructure</t>
  </si>
  <si>
    <t>5G Mobility</t>
  </si>
  <si>
    <t>Cisco Internal</t>
  </si>
  <si>
    <t>Business Architect</t>
  </si>
  <si>
    <t>Cisco Compute</t>
  </si>
  <si>
    <t>Hyper Converged</t>
  </si>
  <si>
    <t>Doc</t>
  </si>
  <si>
    <t>Add</t>
  </si>
  <si>
    <t>Prerequisite</t>
  </si>
  <si>
    <t>Access</t>
  </si>
  <si>
    <t>Pre-Sales</t>
  </si>
  <si>
    <t>Distributor</t>
  </si>
  <si>
    <t>Channels</t>
  </si>
  <si>
    <t>Data Center</t>
  </si>
  <si>
    <t>Chinese</t>
  </si>
  <si>
    <t>ZH</t>
  </si>
  <si>
    <t>Intersight</t>
  </si>
  <si>
    <t>HTML</t>
  </si>
  <si>
    <t>Modify</t>
  </si>
  <si>
    <t>Mission: Case Study</t>
  </si>
  <si>
    <t>Cross Architecture</t>
  </si>
  <si>
    <t>Access and Endpoints</t>
  </si>
  <si>
    <t>Sales</t>
  </si>
  <si>
    <t>Customer Experience</t>
  </si>
  <si>
    <t>DevNet</t>
  </si>
  <si>
    <t>French</t>
  </si>
  <si>
    <t>FR</t>
  </si>
  <si>
    <t>Servers</t>
  </si>
  <si>
    <t>PDF</t>
  </si>
  <si>
    <t>Remove</t>
  </si>
  <si>
    <t>Networking</t>
  </si>
  <si>
    <t>Mission: CTF</t>
  </si>
  <si>
    <t>Advanced Threat</t>
  </si>
  <si>
    <t>Support</t>
  </si>
  <si>
    <t>Engineering</t>
  </si>
  <si>
    <t>Internet Infrastructure</t>
  </si>
  <si>
    <t>German</t>
  </si>
  <si>
    <t>DE</t>
  </si>
  <si>
    <t>Cloud Contact Center</t>
  </si>
  <si>
    <t>PPT</t>
  </si>
  <si>
    <t>Mass Scale Infrastructure</t>
  </si>
  <si>
    <t>Mission: dCloud</t>
  </si>
  <si>
    <t>AI Data Fundamentals</t>
  </si>
  <si>
    <t>AWS-CPPO</t>
  </si>
  <si>
    <t>Marketeer</t>
  </si>
  <si>
    <t>IoT</t>
  </si>
  <si>
    <t>Japanese</t>
  </si>
  <si>
    <t>JA</t>
  </si>
  <si>
    <t>Cloud Webex Suite</t>
  </si>
  <si>
    <t>Security</t>
  </si>
  <si>
    <t>Mission: HLD LLD</t>
  </si>
  <si>
    <t>AI Defense</t>
  </si>
  <si>
    <t>BA</t>
  </si>
  <si>
    <t>New Hire</t>
  </si>
  <si>
    <t>ISG</t>
  </si>
  <si>
    <t>Korean</t>
  </si>
  <si>
    <t>KO</t>
  </si>
  <si>
    <t>CPaaS</t>
  </si>
  <si>
    <t>Services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</si>
  <si>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</si>
  <si>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</si>
  <si>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</si>
  <si>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</si>
  <si>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</si>
  <si>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</si>
  <si>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</si>
  <si>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</si>
  <si>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</si>
  <si>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</si>
  <si>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</si>
  <si>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</si>
  <si>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</si>
  <si>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</si>
  <si>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</si>
  <si>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</si>
  <si>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</si>
  <si>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</si>
  <si>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</si>
  <si>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</si>
  <si>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Phone and Headset Devices</t>
  </si>
  <si>
    <t>SMB</t>
  </si>
  <si>
    <t>AIOps</t>
  </si>
  <si>
    <t>Video Devices</t>
  </si>
  <si>
    <t>Splunk</t>
  </si>
  <si>
    <t>AppDynamics</t>
  </si>
  <si>
    <t>X-Sell</t>
  </si>
  <si>
    <t>Data Center Networking</t>
  </si>
  <si>
    <t>Acacia - DC Allocation</t>
  </si>
  <si>
    <t>Application Centric Infrastructure (ACI)</t>
  </si>
  <si>
    <t>ACI</t>
  </si>
  <si>
    <t>NX1K</t>
  </si>
  <si>
    <t>Application Experience and Management</t>
  </si>
  <si>
    <t>PAM</t>
  </si>
  <si>
    <t>Wireless</t>
  </si>
  <si>
    <t>NX2/4/5/6K</t>
  </si>
  <si>
    <t>Application First Security</t>
  </si>
  <si>
    <t>Practice Development</t>
  </si>
  <si>
    <t>NX3K</t>
  </si>
  <si>
    <t>AR/VR</t>
  </si>
  <si>
    <t>PXP</t>
  </si>
  <si>
    <t>NX7K</t>
  </si>
  <si>
    <t>ASA and Firewall</t>
  </si>
  <si>
    <t>SBPS</t>
  </si>
  <si>
    <t>NX8K</t>
  </si>
  <si>
    <t>Attack Surface Management</t>
  </si>
  <si>
    <t>X-Sell CSS</t>
  </si>
  <si>
    <t>NX9K</t>
  </si>
  <si>
    <t>Automation and Insights</t>
  </si>
  <si>
    <t>X-Sell SBPS</t>
  </si>
  <si>
    <t>Optics - DC Allocation</t>
  </si>
  <si>
    <t>BCS DIL</t>
  </si>
  <si>
    <t>X-Sell TIS</t>
  </si>
  <si>
    <t>Other Data Center</t>
  </si>
  <si>
    <t>Business Architecture</t>
  </si>
  <si>
    <t>SAN</t>
  </si>
  <si>
    <t>Business Continuity</t>
  </si>
  <si>
    <t>Enterprise Routing</t>
  </si>
  <si>
    <t>Ent. Access Routing</t>
  </si>
  <si>
    <t>Business Critical Services</t>
  </si>
  <si>
    <t>Ent. Cloud Platforms</t>
  </si>
  <si>
    <t>Business Edition 4K/6K/7K</t>
  </si>
  <si>
    <t>Ent. Edge Routing</t>
  </si>
  <si>
    <t>Business Edition 6K/7K</t>
  </si>
  <si>
    <t>IIoT Routing</t>
  </si>
  <si>
    <t>Business Resiliency</t>
  </si>
  <si>
    <t>Meraki SD-WAN</t>
  </si>
  <si>
    <t>Catalyst Center</t>
  </si>
  <si>
    <t>Enterprise Switching</t>
  </si>
  <si>
    <t>Ent. Switching - Access</t>
  </si>
  <si>
    <t>CCW Deal Manager</t>
  </si>
  <si>
    <t>Ent. Switching - Core</t>
  </si>
  <si>
    <t>Cisco Capital</t>
  </si>
  <si>
    <t>IIoT Switching</t>
  </si>
  <si>
    <t>Cisco DNA</t>
  </si>
  <si>
    <t>Meraki Switching</t>
  </si>
  <si>
    <t>Cisco Entity</t>
  </si>
  <si>
    <t>Optics - Ent. Networking Allocation</t>
  </si>
  <si>
    <t>Cisco Meeting Servers</t>
  </si>
  <si>
    <t>Optics - IIoT Allocation</t>
  </si>
  <si>
    <t>Cisco Prime Migration</t>
  </si>
  <si>
    <t>Acacia - Internet Infra Allocation</t>
  </si>
  <si>
    <t>Cisco Refresh</t>
  </si>
  <si>
    <t>Automation</t>
  </si>
  <si>
    <t>Cisco Secure Client</t>
  </si>
  <si>
    <t>Cable Access &amp; Infra (CMTS, QAM, HFC)</t>
  </si>
  <si>
    <t>Cisco Spaces</t>
  </si>
  <si>
    <t>Control Center</t>
  </si>
  <si>
    <t>Cisco Support</t>
  </si>
  <si>
    <t>Mobility</t>
  </si>
  <si>
    <t>Cisco Umbrella</t>
  </si>
  <si>
    <t>OPTICAL</t>
  </si>
  <si>
    <t>Cisco Wearables and Peripherals</t>
  </si>
  <si>
    <t>Optics - SP Routing Allocation</t>
  </si>
  <si>
    <t>Cisco+ Secure Connect</t>
  </si>
  <si>
    <t>Silicon One</t>
  </si>
  <si>
    <t>Cloud Analytics</t>
  </si>
  <si>
    <t>SP Access &amp; Aggregation</t>
  </si>
  <si>
    <t>Cloud and AI Use Cases</t>
  </si>
  <si>
    <t>SP Core Routing</t>
  </si>
  <si>
    <t>Cloud Application Security</t>
  </si>
  <si>
    <t>SP Edge Routing</t>
  </si>
  <si>
    <t>Cloud Calling</t>
  </si>
  <si>
    <t>SP Hyperscale Routing</t>
  </si>
  <si>
    <t>Cloud Collaboration</t>
  </si>
  <si>
    <t>SP Network Assurance</t>
  </si>
  <si>
    <t>Cloud Compute</t>
  </si>
  <si>
    <t>SP Segment Mobility Solutions</t>
  </si>
  <si>
    <t>Cloud Experience</t>
  </si>
  <si>
    <t>ThousandEyes</t>
  </si>
  <si>
    <t>Cloud Management for Catalyst</t>
  </si>
  <si>
    <t>AI Solutions</t>
  </si>
  <si>
    <t>Cloud Networking</t>
  </si>
  <si>
    <t>Cloud Platform and Services</t>
  </si>
  <si>
    <t>Cloud Operations</t>
  </si>
  <si>
    <t>Data &amp; Analytics</t>
  </si>
  <si>
    <t>Cloud Security</t>
  </si>
  <si>
    <t>Digital Media</t>
  </si>
  <si>
    <t>Cloud Software Intersight</t>
  </si>
  <si>
    <t>Discontinued Business</t>
  </si>
  <si>
    <t>Cloud Software Nexus Dashboard</t>
  </si>
  <si>
    <t xml:space="preserve">Government Services </t>
  </si>
  <si>
    <t>Cloud Storage</t>
  </si>
  <si>
    <t>Home Networking and Other Emerging</t>
  </si>
  <si>
    <t>Cloud, Web &amp; Email Security</t>
  </si>
  <si>
    <t>Innovation</t>
  </si>
  <si>
    <t>Cloudlock</t>
  </si>
  <si>
    <t>Russian Adjustments</t>
  </si>
  <si>
    <t>Collaboration Competitive Guides</t>
  </si>
  <si>
    <t>SP Cloud</t>
  </si>
  <si>
    <t>Compute</t>
  </si>
  <si>
    <t>Other Enterprise Networking</t>
  </si>
  <si>
    <t>Meraki IOT</t>
  </si>
  <si>
    <t>Contact Center</t>
  </si>
  <si>
    <t>Meraki Vision</t>
  </si>
  <si>
    <t>Contact Center Enterprise</t>
  </si>
  <si>
    <t>Contact Center Express</t>
  </si>
  <si>
    <t>Hybrid Mesh Firewall</t>
  </si>
  <si>
    <t>Core Security</t>
  </si>
  <si>
    <t>Identity</t>
  </si>
  <si>
    <t>Co-Sell</t>
  </si>
  <si>
    <t>Secure Service Edge</t>
  </si>
  <si>
    <t>CPS Software Practice Lead</t>
  </si>
  <si>
    <t>Threat Intelligence, Detection, &amp; Response</t>
  </si>
  <si>
    <t>Crosswork Cloud</t>
  </si>
  <si>
    <t>Crosswork Network Controller</t>
  </si>
  <si>
    <t>Splunk Observability</t>
  </si>
  <si>
    <t>CSEP</t>
  </si>
  <si>
    <t>Splunk Platform</t>
  </si>
  <si>
    <t>CUBE</t>
  </si>
  <si>
    <t>Splunk Security</t>
  </si>
  <si>
    <t>Customer Success Manager</t>
  </si>
  <si>
    <t>Threat Detection</t>
  </si>
  <si>
    <t>CX Cloud</t>
  </si>
  <si>
    <t>CX Engage TAC</t>
  </si>
  <si>
    <t>Ent. - Wireless</t>
  </si>
  <si>
    <t>Cyber Vision</t>
  </si>
  <si>
    <t>IIoT Wireless</t>
  </si>
  <si>
    <t>Cyber Vision Assessment</t>
  </si>
  <si>
    <t>Meraki System Manager</t>
  </si>
  <si>
    <t>Meraki Wireless</t>
  </si>
  <si>
    <t>Data Center Competitive Guides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</si>
  <si>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</si>
  <si>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</si>
  <si>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</si>
  <si>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</si>
  <si>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</si>
  <si>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</si>
  <si>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</si>
  <si>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</si>
  <si>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</si>
  <si>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</si>
  <si>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</si>
  <si>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</si>
  <si>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</si>
  <si>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</si>
  <si>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</si>
  <si>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</si>
  <si>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</si>
  <si>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</si>
  <si>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</si>
  <si>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</si>
  <si>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</si>
  <si>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</si>
  <si>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</si>
  <si>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</si>
  <si>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</si>
  <si>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</si>
  <si>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</si>
  <si>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</si>
  <si>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</si>
  <si>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</si>
  <si>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</si>
  <si>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</si>
  <si>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</si>
  <si>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</si>
  <si>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</si>
  <si>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</si>
  <si>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</si>
  <si>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</si>
  <si>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</si>
  <si>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</si>
  <si>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</si>
  <si>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</si>
  <si>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</si>
  <si>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</si>
  <si>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</si>
  <si>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</si>
  <si>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</si>
  <si>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</si>
  <si>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</si>
  <si>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</si>
  <si>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</si>
  <si>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</si>
  <si>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</si>
  <si>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</si>
  <si>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</si>
  <si>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</si>
  <si>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</si>
  <si>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</si>
  <si>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</si>
  <si>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</si>
  <si>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</si>
  <si>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</si>
  <si>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</si>
  <si>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</si>
  <si>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</si>
  <si>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</si>
  <si>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</si>
  <si>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</si>
  <si>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</si>
  <si>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</si>
  <si>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</si>
  <si>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</si>
  <si>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</si>
  <si>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</si>
  <si>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</si>
  <si>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</si>
  <si>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</si>
  <si>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</si>
  <si>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</si>
  <si>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</si>
  <si>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</si>
  <si>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</si>
  <si>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</si>
  <si>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</si>
  <si>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</si>
  <si>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</si>
  <si>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</si>
  <si>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</si>
  <si>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</si>
  <si>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</si>
  <si>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</si>
  <si>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</si>
  <si>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</si>
  <si>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</si>
  <si>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</si>
  <si>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</si>
  <si>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</si>
  <si>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</si>
  <si>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</si>
  <si>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</si>
  <si>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</si>
  <si>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</si>
  <si>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</si>
  <si>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</si>
  <si>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</si>
  <si>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</si>
  <si>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</si>
  <si>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</si>
  <si>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</si>
  <si>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</si>
  <si>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</si>
  <si>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</si>
  <si>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</si>
  <si>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</si>
  <si>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</si>
  <si>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</si>
  <si>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</si>
  <si>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</si>
  <si>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</si>
  <si>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</si>
  <si>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</si>
  <si>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</si>
  <si>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</si>
  <si>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</si>
  <si>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</si>
  <si>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</si>
  <si>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</si>
  <si>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</si>
  <si>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</si>
  <si>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</si>
  <si>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</si>
  <si>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</si>
  <si>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</si>
  <si>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</si>
  <si>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</si>
  <si>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</si>
  <si>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</si>
  <si>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</si>
  <si>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</si>
  <si>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</si>
  <si>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</si>
  <si>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</si>
  <si>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</si>
  <si>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</si>
  <si>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</si>
  <si>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</si>
  <si>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</si>
  <si>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</si>
  <si>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</si>
  <si>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</si>
  <si>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</si>
  <si>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</si>
  <si>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</si>
  <si>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</si>
  <si>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</si>
  <si>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</si>
  <si>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</si>
  <si>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</si>
  <si>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</si>
  <si>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</si>
  <si>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</si>
  <si>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</si>
  <si>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</si>
  <si>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</si>
  <si>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</si>
  <si>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</si>
  <si>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</si>
  <si>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</si>
  <si>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</si>
  <si>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</si>
  <si>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</si>
  <si>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</si>
  <si>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</si>
  <si>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</si>
  <si>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</si>
  <si>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</si>
  <si>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</si>
  <si>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</si>
  <si>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</si>
  <si>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</si>
  <si>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</si>
  <si>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</si>
  <si>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</si>
  <si>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</si>
  <si>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</si>
  <si>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</si>
  <si>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</si>
  <si>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</si>
  <si>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</si>
  <si>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</si>
  <si>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</si>
  <si>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</si>
  <si>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</si>
  <si>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</si>
  <si>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</si>
  <si>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</si>
  <si>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</si>
  <si>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</si>
  <si>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</si>
  <si>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</si>
  <si>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</si>
  <si>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</si>
  <si>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</si>
  <si>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</si>
  <si>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</si>
  <si>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</si>
  <si>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</si>
  <si>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</si>
  <si>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</si>
  <si>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</si>
  <si>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</si>
  <si>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</si>
  <si>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</si>
  <si>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</si>
  <si>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</si>
  <si>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</si>
  <si>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</si>
  <si>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</si>
  <si>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</si>
  <si>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</si>
  <si>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</si>
  <si>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</si>
  <si>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</si>
  <si>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</si>
  <si>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</si>
  <si>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</si>
  <si>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</si>
  <si>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</si>
  <si>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</si>
  <si>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</si>
  <si>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</si>
  <si>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</si>
  <si>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</si>
  <si>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</si>
  <si>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</si>
  <si>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</si>
  <si>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</si>
  <si>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</si>
  <si>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</si>
  <si>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</si>
  <si>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</si>
  <si>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</si>
  <si>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</si>
  <si>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</si>
  <si>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</si>
  <si>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</si>
  <si>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</si>
  <si>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</si>
  <si>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</si>
  <si>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</si>
  <si>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</si>
  <si>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</si>
  <si>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</si>
  <si>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</si>
  <si>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</si>
  <si>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</si>
  <si>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</si>
  <si>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</si>
  <si>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</si>
  <si>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</si>
  <si>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</si>
  <si>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</si>
  <si>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</si>
  <si>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</si>
  <si>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</si>
  <si>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</si>
  <si>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</si>
  <si>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</si>
  <si>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</si>
  <si>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</si>
  <si>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</si>
  <si>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</si>
  <si>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</si>
  <si>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</si>
  <si>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</si>
  <si>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</si>
  <si>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</si>
  <si>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</si>
  <si>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</si>
  <si>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</si>
  <si>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</si>
  <si>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</si>
  <si>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</si>
  <si>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</si>
  <si>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</si>
  <si>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</si>
  <si>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</si>
  <si>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</si>
  <si>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</si>
  <si>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</si>
  <si>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</si>
  <si>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</si>
  <si>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</si>
  <si>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</si>
  <si>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</si>
  <si>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</si>
  <si>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</si>
  <si>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</si>
  <si>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</si>
  <si>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</si>
  <si>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</si>
  <si>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</si>
  <si>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</si>
  <si>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</si>
  <si>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</si>
  <si>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</si>
  <si>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</si>
  <si>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</si>
  <si>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</si>
  <si>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</si>
  <si>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</si>
  <si>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</si>
  <si>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</si>
  <si>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</si>
  <si>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</si>
  <si>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</si>
  <si>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</si>
  <si>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</si>
  <si>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</si>
  <si>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</si>
  <si>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</si>
  <si>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</si>
  <si>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</si>
  <si>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</si>
  <si>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</si>
  <si>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</si>
  <si>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</si>
  <si>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</si>
  <si>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</si>
  <si>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</si>
  <si>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</si>
  <si>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</si>
  <si>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</si>
  <si>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</si>
  <si>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</si>
  <si>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</si>
  <si>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</si>
  <si>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</si>
  <si>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</si>
  <si>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</si>
  <si>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</si>
  <si>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</si>
  <si>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</si>
  <si>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TAC Fundamentals</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</si>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</sst>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
      <sz val="12"/>
      <color rgb="FF000000"/>
      <name val="Aptos Narrow"/>
      <family val="2"/>
      <scheme val="minor"/>
    </font>
    <font>
      <sz val="12"/>
      <name val="Aptos Narrow"/>
      <family val="2"/>
      <scheme val="minor"/>
    </font>
    <font>
      <sz val="12"/>
      <color rgb="FF07182D"/>
      <name val="Aptos Narrow"/>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
      <patternFill patternType="solid">
        <fgColor rgb="FFEAEAEA"/>
        <bgColor rgb="FF000000"/>
      </patternFill>
    </fill>
  </fills>
  <borders count="27">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
      <left style="hair">
        <color rgb="FF196B24"/>
      </left>
      <right style="hair">
        <color rgb="FF196B24"/>
      </right>
      <top style="hair">
        <color rgb="FF196B24"/>
      </top>
      <bottom style="hair">
        <color rgb="FF196B24"/>
      </bottom>
      <diagonal/>
    </border>
  </borders>
  <cellStyleXfs count="2">
    <xf numFmtId="0" fontId="0" fillId="0" borderId="0"/>
    <xf numFmtId="0" fontId="8" fillId="0" borderId="0" applyNumberFormat="0" applyFill="0" applyBorder="0" applyAlignment="0" applyProtection="0"/>
  </cellStyleXfs>
  <cellXfs count="93">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22" fillId="0" borderId="0" xfId="0" applyFont="1" applyProtection="1">
      <protection locked="0"/>
    </xf>
    <xf numFmtId="0" fontId="21" fillId="17" borderId="26" xfId="0" applyFont="1" applyFill="1" applyBorder="1" applyProtection="1">
      <protection locked="0"/>
    </xf>
    <xf numFmtId="0" fontId="20" fillId="0" borderId="4"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0" xfId="0" applyAlignment="1" applyProtection="1">
      <alignment horizontal="left" vertical="center" wrapText="1"/>
      <protection locked="0"/>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cellXfs>
  <cellStyles count="2">
    <cellStyle name="Hyperlink" xfId="1" builtinId="8"/>
    <cellStyle name="Normal" xfId="0" builtinId="0"/>
  </cellStyles>
  <dxfs count="143">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alignment horizontal="left" vertical="center" textRotation="0" wrapText="1" indent="0" justifyLastLine="0" shrinkToFit="0" readingOrder="0"/>
      <protection locked="0" hidden="0"/>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
      <font>
        <color rgb="FF9C0006"/>
      </font>
      <fill>
        <patternFill>
          <bgColor rgb="FFFFC7CE"/>
        </patternFill>
      </fill>
    </dxf>
    <dxf>
      <font>
        <color rgb="FF9C0006"/>
      </font>
      <fill>
        <patternFill>
          <bgColor rgb="FFFFC7CE"/>
        </pattern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border>
        <left style="hair">
          <color theme="6"/>
        </left>
        <right style="hair">
          <color theme="6"/>
        </right>
        <top style="hair">
          <color theme="6"/>
        </top>
        <bottom style="hair">
          <color theme="6"/>
        </bottom>
        <vertical/>
        <horizontal/>
      </border>
    </dxf>
    <dxf>
      <border>
        <left style="hair">
          <color theme="6"/>
        </left>
        <right style="hair">
          <color theme="6"/>
        </right>
        <top style="hair">
          <color theme="6"/>
        </top>
        <bottom style="hair">
          <color theme="6"/>
        </bottom>
        <vertical/>
        <horizontal/>
      </border>
    </dxf>
    <dxf>
      <font>
        <color theme="3" tint="0.24994659260841701"/>
      </font>
    </dxf>
    <dxf>
      <font>
        <color theme="9" tint="-0.24994659260841701"/>
      </font>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color rgb="FFC00000"/>
      </font>
    </dxf>
    <dxf>
      <font>
        <color theme="9" tint="-0.24994659260841701"/>
      </font>
    </dxf>
    <dxf>
      <font>
        <color theme="3" tint="0.24994659260841701"/>
      </font>
    </dxf>
    <dxf>
      <border>
        <left style="hair">
          <color theme="6"/>
        </left>
        <right style="hair">
          <color theme="6"/>
        </right>
        <top style="hair">
          <color theme="6"/>
        </top>
        <bottom style="hair">
          <color theme="6"/>
        </bottom>
        <vertical/>
        <horizontal/>
      </border>
    </dxf>
    <dxf>
      <fill>
        <patternFill>
          <bgColor rgb="FFFF999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ill>
        <patternFill>
          <bgColor rgb="FFFF9999"/>
        </patternFill>
      </fill>
    </dxf>
    <dxf>
      <border>
        <left style="hair">
          <color theme="6"/>
        </left>
        <right style="hair">
          <color theme="6"/>
        </right>
        <top style="hair">
          <color theme="6"/>
        </top>
        <bottom style="hair">
          <color theme="6"/>
        </bottom>
        <vertical/>
        <horizontal/>
      </border>
    </dxf>
    <dxf>
      <font>
        <color theme="1" tint="0.34998626667073579"/>
      </font>
      <fill>
        <patternFill>
          <bgColor theme="1" tint="0.34998626667073579"/>
        </patternFill>
      </fill>
    </dxf>
    <dxf>
      <fill>
        <patternFill>
          <bgColor rgb="FFFF9999"/>
        </patternFill>
      </fill>
    </dxf>
    <dxf>
      <font>
        <color theme="1" tint="0.34998626667073579"/>
      </font>
      <fill>
        <patternFill>
          <bgColor theme="1" tint="0.34998626667073579"/>
        </patternFill>
      </fill>
    </dxf>
    <dxf>
      <font>
        <color auto="1"/>
      </font>
      <fill>
        <patternFill>
          <bgColor rgb="FFEAEAEA"/>
        </patternFill>
      </fill>
    </dxf>
    <dxf>
      <font>
        <color theme="1" tint="0.34998626667073579"/>
      </font>
      <fill>
        <patternFill>
          <bgColor theme="1" tint="0.34998626667073579"/>
        </patternFill>
      </fill>
    </dxf>
    <dxf>
      <font>
        <color theme="1" tint="0.34998626667073579"/>
      </font>
      <fill>
        <patternFill>
          <bgColor theme="1" tint="0.34998626667073579"/>
        </patternFill>
      </fill>
    </dxf>
    <dxf>
      <font>
        <color auto="1"/>
      </font>
      <fill>
        <patternFill>
          <bgColor rgb="FFEAEAEA"/>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ont>
        <color rgb="FF9C0006"/>
      </font>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ont>
        <color rgb="FF9C0006"/>
      </font>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ill>
        <patternFill>
          <bgColor rgb="FFFF9999"/>
        </patternFill>
      </fill>
    </dxf>
    <dxf>
      <font>
        <color rgb="FF9C0006"/>
      </font>
      <fill>
        <patternFill>
          <bgColor rgb="FFFF9999"/>
        </patternFill>
      </fill>
    </dxf>
    <dxf>
      <font>
        <color rgb="FF9C0006"/>
      </font>
      <fill>
        <patternFill>
          <bgColor rgb="FFFF9999"/>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F9999"/>
        </patternFill>
      </fill>
    </dxf>
    <dxf>
      <fill>
        <patternFill>
          <bgColor rgb="FFF7C7A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1BBEA"/>
          </stop>
          <stop position="1">
            <color rgb="FF20639E"/>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color rgb="FFC00000"/>
      </font>
      <fill>
        <patternFill>
          <bgColor rgb="FFFF9999"/>
        </patternFill>
      </fill>
    </dxf>
    <dxf>
      <font>
        <color rgb="FFC00000"/>
      </font>
    </dxf>
    <dxf>
      <font>
        <color rgb="FF20099B"/>
      </font>
    </dxf>
    <dxf>
      <font>
        <color rgb="FF20639E"/>
      </font>
    </dxf>
    <dxf>
      <fill>
        <patternFill>
          <bgColor rgb="FFFF9999"/>
        </patternFill>
      </fill>
    </dxf>
    <dxf>
      <fill>
        <patternFill>
          <bgColor rgb="FFFF9999"/>
        </patternFill>
      </fill>
    </dxf>
    <dxf>
      <fill>
        <patternFill>
          <bgColor rgb="FFF7C7AC"/>
        </patternFill>
      </fill>
    </dxf>
    <dxf>
      <font>
        <color rgb="FFC00000"/>
      </font>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ont>
        <b/>
        <i val="0"/>
        <strike val="0"/>
        <color theme="0"/>
      </font>
      <fill>
        <gradientFill>
          <stop position="0">
            <color rgb="FF01BBEA"/>
          </stop>
          <stop position="1">
            <color rgb="FF20639E"/>
          </stop>
        </gradientFill>
      </fill>
    </dxf>
    <dxf>
      <font>
        <b/>
        <i val="0"/>
        <color theme="0"/>
      </font>
      <fill>
        <gradientFill>
          <stop position="0">
            <color rgb="FF72BF4D"/>
          </stop>
          <stop position="1">
            <color rgb="FF01A5C1"/>
          </stop>
        </gradientFill>
      </fill>
    </dxf>
    <dxf>
      <font>
        <color auto="1"/>
      </font>
      <fill>
        <patternFill>
          <bgColor rgb="FFEAEAEA"/>
        </patternFill>
      </fill>
    </dxf>
    <dxf>
      <font>
        <color rgb="FFC00000"/>
      </font>
    </dxf>
    <dxf>
      <font>
        <color theme="3" tint="0.24994659260841701"/>
      </font>
    </dxf>
    <dxf>
      <font>
        <color theme="9" tint="-0.24994659260841701"/>
      </font>
    </dxf>
    <dxf>
      <border>
        <left style="hair">
          <color theme="6"/>
        </left>
        <right style="hair">
          <color theme="6"/>
        </right>
        <top style="hair">
          <color theme="6"/>
        </top>
        <bottom style="hair">
          <color theme="6"/>
        </bottom>
        <vertical/>
        <horizontal/>
      </border>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s>
  <tableStyles count="0" defaultTableStyle="TableStyleMedium2" defaultPivotStyle="PivotStyleLight16"/>
  <colors>
    <mruColors>
      <color rgb="FFFF9999"/>
      <color rgb="FFF7C7AC"/>
      <color rgb="FFFFCC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23</xdr:col>
      <xdr:colOff>142018</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Webex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Deployment</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1</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09698" y="8778239"/>
          <a:ext cx="12189344" cy="4829051"/>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25" dataDxfId="24" headerRowBorderDxfId="22" tableBorderDxfId="23">
  <autoFilter ref="A19:K103"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ile:///C:/Users/:f:/s/CiscoBlackBeltPartnerAcademy/EucWzhY-ggNPobIMUnB6Z2IBguYhZY0l01Vhnwcoe4fB2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I959"/>
  <sheetViews>
    <sheetView showGridLines="0" tabSelected="1" topLeftCell="A13" zoomScaleNormal="100" workbookViewId="0">
      <selection activeCell="F31" sqref="F31"/>
    </sheetView>
  </sheetViews>
  <sheetFormatPr defaultColWidth="8.85546875" defaultRowHeight="15"/>
  <cols>
    <col min="1" max="1" width="14.28515625" customWidth="1"/>
    <col min="2" max="2" width="33.28515625" customWidth="1"/>
    <col min="3" max="3" width="14.42578125" customWidth="1"/>
    <col min="4" max="4" width="16.140625" customWidth="1"/>
    <col min="5" max="5" width="13" customWidth="1"/>
    <col min="6" max="6" width="55.7109375" customWidth="1"/>
    <col min="7" max="7" width="14.28515625" customWidth="1"/>
    <col min="8" max="8" width="63" customWidth="1"/>
    <col min="9" max="9" width="14.42578125" customWidth="1"/>
    <col min="10" max="10" width="75" customWidth="1"/>
    <col min="11" max="11" width="15.85546875" customWidth="1"/>
    <col min="12" max="12" width="15.140625" customWidth="1"/>
    <col min="13" max="13" width="8.85546875" customWidth="1"/>
    <col min="24" max="24" width="2.140625" customWidth="1"/>
    <col min="26" max="26" width="8.85546875" customWidth="1"/>
    <col min="27" max="27" width="22.42578125" hidden="1" customWidth="1"/>
    <col min="28" max="28" width="8.85546875" hidden="1" customWidth="1"/>
    <col min="29" max="29" width="29.42578125" hidden="1" customWidth="1"/>
    <col min="30" max="30" width="22.8554687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0" width="8.85546875" hidden="1" customWidth="1"/>
    <col min="51" max="51" width="18.42578125" hidden="1" customWidth="1"/>
    <col min="52" max="59" width="8.85546875" hidden="1" customWidth="1"/>
    <col min="60" max="60" width="17.85546875" hidden="1" customWidth="1"/>
    <col min="61" max="61" width="8.85546875" hidden="1" customWidth="1"/>
    <col min="62" max="62" width="8.85546875" customWidth="1"/>
  </cols>
  <sheetData>
    <row r="1" spans="1:24" ht="29.45" customHeight="1">
      <c r="A1" s="63" t="s">
        <v>0</v>
      </c>
      <c r="B1" s="63"/>
      <c r="C1" s="63"/>
      <c r="D1" s="63"/>
      <c r="E1" s="63"/>
      <c r="F1" s="63"/>
      <c r="G1" s="63"/>
      <c r="H1" s="63"/>
      <c r="I1" s="63"/>
      <c r="J1" s="63"/>
      <c r="K1" s="63"/>
      <c r="L1" s="63"/>
      <c r="M1" s="68"/>
      <c r="N1" s="68"/>
      <c r="O1" s="68"/>
      <c r="P1" s="68"/>
      <c r="Q1" s="68"/>
      <c r="R1" s="68"/>
      <c r="S1" s="68"/>
      <c r="T1" s="68"/>
      <c r="U1" s="68"/>
      <c r="V1" s="68"/>
      <c r="W1" s="68"/>
      <c r="X1" s="68"/>
    </row>
    <row r="2" spans="1:24" s="16" customFormat="1">
      <c r="A2" s="15"/>
      <c r="B2" s="15"/>
      <c r="C2" s="15"/>
      <c r="D2" s="15"/>
      <c r="E2" s="15"/>
      <c r="F2" s="15"/>
      <c r="G2" s="15"/>
      <c r="H2" s="15"/>
      <c r="I2" s="15"/>
      <c r="J2" s="15"/>
      <c r="K2" s="15"/>
      <c r="L2" s="15"/>
      <c r="M2" s="69"/>
      <c r="N2" s="69"/>
      <c r="O2" s="69"/>
      <c r="P2" s="69"/>
      <c r="Q2" s="69"/>
      <c r="R2" s="69"/>
      <c r="S2" s="69"/>
      <c r="T2" s="69"/>
      <c r="U2" s="69"/>
      <c r="V2" s="69"/>
      <c r="W2" s="69"/>
      <c r="X2" s="69"/>
    </row>
    <row r="3" spans="1:24" s="21" customFormat="1" ht="47.45" customHeight="1">
      <c r="A3" s="31"/>
      <c r="B3" s="64"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Webex Calling Deployment Stage 1 (Aug 2026)</v>
      </c>
      <c r="C3" s="64"/>
      <c r="D3" s="64"/>
      <c r="E3" s="64"/>
      <c r="F3" s="64"/>
      <c r="G3" s="64"/>
      <c r="H3" s="64"/>
      <c r="I3" s="31"/>
      <c r="J3" s="31"/>
      <c r="K3" s="31"/>
      <c r="L3" s="31"/>
      <c r="M3" s="69"/>
      <c r="N3" s="69"/>
      <c r="O3" s="69"/>
      <c r="P3" s="69"/>
      <c r="Q3" s="69"/>
      <c r="R3" s="69"/>
      <c r="S3" s="69"/>
      <c r="T3" s="69"/>
      <c r="U3" s="69"/>
      <c r="V3" s="69"/>
      <c r="W3" s="69"/>
      <c r="X3" s="69"/>
    </row>
    <row r="4" spans="1:24" s="21" customFormat="1" ht="106.35" customHeight="1">
      <c r="A4" s="31"/>
      <c r="B4" s="65"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series establishes the technical foundation for Webex Calling deployments. It covers the cloud-first architecture, license management, and initial environment provisioning, enabling partners to move from Proof of Concept to a stable, production-ready deployment.
Cisco 360 Aligned Portfolio: Collaboration.
Estimated series completion duration: 2 h 21 m</v>
      </c>
      <c r="C4" s="65"/>
      <c r="D4" s="65"/>
      <c r="E4" s="65"/>
      <c r="F4" s="65"/>
      <c r="G4" s="65"/>
      <c r="H4" s="65"/>
      <c r="I4" s="31"/>
      <c r="J4" s="31"/>
      <c r="K4" s="31"/>
      <c r="L4" s="31"/>
      <c r="M4" s="69"/>
      <c r="N4" s="69"/>
      <c r="O4" s="69"/>
      <c r="P4" s="69"/>
      <c r="Q4" s="69"/>
      <c r="R4" s="69"/>
      <c r="S4" s="69"/>
      <c r="T4" s="69"/>
      <c r="U4" s="69"/>
      <c r="V4" s="69"/>
      <c r="W4" s="69"/>
      <c r="X4" s="69"/>
    </row>
    <row r="5" spans="1:24" s="21" customFormat="1">
      <c r="A5" s="31"/>
      <c r="B5" s="31"/>
      <c r="C5" s="31"/>
      <c r="D5" s="31"/>
      <c r="E5" s="31"/>
      <c r="F5" s="31"/>
      <c r="G5" s="31"/>
      <c r="H5" s="31"/>
      <c r="I5" s="31"/>
      <c r="J5" s="31"/>
      <c r="K5" s="31"/>
      <c r="L5" s="31"/>
      <c r="M5" s="69"/>
      <c r="N5" s="69"/>
      <c r="O5" s="69"/>
      <c r="P5" s="69"/>
      <c r="Q5" s="69"/>
      <c r="R5" s="69"/>
      <c r="S5" s="69"/>
      <c r="T5" s="69"/>
      <c r="U5" s="69"/>
      <c r="V5" s="69"/>
      <c r="W5" s="69"/>
      <c r="X5" s="69"/>
    </row>
    <row r="6" spans="1:24" s="21" customFormat="1" ht="39" customHeight="1">
      <c r="A6" s="33" t="s">
        <v>1</v>
      </c>
      <c r="B6" s="34" t="s">
        <v>2</v>
      </c>
      <c r="C6" s="31" t="str">
        <f>IF(B6="Manual","Custom Title","")</f>
        <v/>
      </c>
      <c r="D6" s="66"/>
      <c r="E6" s="66"/>
      <c r="F6" s="66"/>
      <c r="G6" s="66"/>
      <c r="H6" s="66"/>
      <c r="I6" s="66"/>
      <c r="J6" s="66"/>
      <c r="K6" s="31"/>
      <c r="L6" s="31"/>
      <c r="M6" s="69"/>
      <c r="N6" s="69"/>
      <c r="O6" s="69"/>
      <c r="P6" s="69"/>
      <c r="Q6" s="69"/>
      <c r="R6" s="69"/>
      <c r="S6" s="69"/>
      <c r="T6" s="69"/>
      <c r="U6" s="69"/>
      <c r="V6" s="69"/>
      <c r="W6" s="69"/>
      <c r="X6" s="69"/>
    </row>
    <row r="7" spans="1:24" s="21" customFormat="1" ht="29.1" customHeight="1">
      <c r="A7" s="31"/>
      <c r="B7" s="31"/>
      <c r="C7" s="31"/>
      <c r="D7" s="31"/>
      <c r="E7" s="31"/>
      <c r="F7" s="31"/>
      <c r="G7" s="31"/>
      <c r="H7" s="31"/>
      <c r="I7" s="31"/>
      <c r="J7" s="31"/>
      <c r="K7" s="31"/>
      <c r="L7" s="31"/>
      <c r="M7" s="69"/>
      <c r="N7" s="69"/>
      <c r="O7" s="69"/>
      <c r="P7" s="69"/>
      <c r="Q7" s="69"/>
      <c r="R7" s="69"/>
      <c r="S7" s="69"/>
      <c r="T7" s="69"/>
      <c r="U7" s="69"/>
      <c r="V7" s="69"/>
      <c r="W7" s="69"/>
      <c r="X7" s="69"/>
    </row>
    <row r="8" spans="1:24" s="21" customFormat="1" ht="85.35" customHeight="1">
      <c r="A8" s="35" t="s">
        <v>3</v>
      </c>
      <c r="B8" s="62" t="s">
        <v>4</v>
      </c>
      <c r="C8" s="62"/>
      <c r="D8" s="62"/>
      <c r="E8" s="62"/>
      <c r="F8" s="62"/>
      <c r="G8" s="62"/>
      <c r="H8" s="62"/>
      <c r="I8" s="62"/>
      <c r="J8" s="62"/>
      <c r="K8" s="31"/>
      <c r="L8" s="31"/>
      <c r="M8" s="70"/>
      <c r="N8" s="70"/>
      <c r="O8" s="70"/>
      <c r="P8" s="70"/>
      <c r="Q8" s="70"/>
      <c r="R8" s="70"/>
      <c r="S8" s="70"/>
      <c r="T8" s="70"/>
      <c r="U8" s="70"/>
      <c r="V8" s="70"/>
      <c r="W8" s="70"/>
      <c r="X8" s="70"/>
    </row>
    <row r="9" spans="1:24" s="21" customFormat="1" ht="39" customHeight="1">
      <c r="A9" s="31"/>
      <c r="B9" s="31"/>
      <c r="C9" s="31"/>
      <c r="D9" s="31"/>
      <c r="E9" s="31"/>
      <c r="F9" s="31"/>
      <c r="G9" s="31"/>
      <c r="H9" s="31"/>
      <c r="I9" s="31"/>
      <c r="J9" s="31"/>
      <c r="K9" s="31"/>
      <c r="L9" s="31"/>
      <c r="M9" s="71" t="s">
        <v>5</v>
      </c>
      <c r="N9" s="72"/>
      <c r="O9" s="72"/>
      <c r="P9" s="72"/>
      <c r="Q9" s="72"/>
      <c r="R9" s="72"/>
      <c r="S9" s="72"/>
      <c r="T9" s="72"/>
      <c r="U9" s="72"/>
      <c r="V9" s="72"/>
      <c r="W9" s="72"/>
      <c r="X9" s="72"/>
    </row>
    <row r="10" spans="1:24" s="21" customFormat="1" ht="39" customHeight="1">
      <c r="A10" s="35" t="s">
        <v>6</v>
      </c>
      <c r="B10" s="23" t="s">
        <v>7</v>
      </c>
      <c r="C10" s="35" t="s">
        <v>8</v>
      </c>
      <c r="D10" s="23" t="s">
        <v>9</v>
      </c>
      <c r="E10" s="35" t="s">
        <v>10</v>
      </c>
      <c r="F10" s="23" t="s">
        <v>11</v>
      </c>
      <c r="G10" s="35" t="s">
        <v>12</v>
      </c>
      <c r="H10" s="23" t="s">
        <v>13</v>
      </c>
      <c r="I10" s="35" t="s">
        <v>14</v>
      </c>
      <c r="J10" s="23" t="s">
        <v>15</v>
      </c>
      <c r="L10" s="31"/>
      <c r="M10" s="42" t="s">
        <v>16</v>
      </c>
      <c r="N10" s="39"/>
      <c r="O10" s="39"/>
      <c r="P10" s="39"/>
    </row>
    <row r="11" spans="1:24" s="21" customFormat="1" ht="39" customHeight="1">
      <c r="A11" s="31" t="str">
        <f>IF(OR($B$6="Manual",$B$10="Other"),"TL1","")</f>
        <v/>
      </c>
      <c r="B11" s="24"/>
      <c r="C11" s="31" t="str">
        <f>IF(LEN($A$11)&gt;=3,"TL2","")</f>
        <v/>
      </c>
      <c r="D11" s="24"/>
      <c r="E11" s="31" t="str">
        <f>IF(LEN($C$11)&gt;=3,"TL3","")</f>
        <v/>
      </c>
      <c r="F11" s="24"/>
      <c r="G11" s="31"/>
      <c r="H11" s="31"/>
      <c r="I11" s="31"/>
      <c r="J11" s="31"/>
      <c r="K11" s="31"/>
      <c r="L11" s="31"/>
      <c r="M11" s="40"/>
      <c r="N11" s="38" t="s">
        <v>17</v>
      </c>
      <c r="O11" s="39"/>
      <c r="P11" s="39"/>
    </row>
    <row r="12" spans="1:24" s="21" customFormat="1" ht="39" customHeight="1">
      <c r="A12" s="35" t="s">
        <v>18</v>
      </c>
      <c r="B12" s="36">
        <f>SUM(MS[Duration (mins)])</f>
        <v>141</v>
      </c>
      <c r="C12" s="35" t="s">
        <v>19</v>
      </c>
      <c r="D12" s="23" t="s">
        <v>20</v>
      </c>
      <c r="E12" s="35" t="s">
        <v>21</v>
      </c>
      <c r="F12" s="23" t="s">
        <v>22</v>
      </c>
      <c r="G12" s="35" t="s">
        <v>23</v>
      </c>
      <c r="H12" s="23" t="s">
        <v>20</v>
      </c>
      <c r="I12" s="35" t="s">
        <v>24</v>
      </c>
      <c r="J12" s="23" t="s">
        <v>25</v>
      </c>
      <c r="K12" s="31"/>
      <c r="L12" s="31"/>
      <c r="M12" s="41"/>
      <c r="N12" s="38" t="s">
        <v>26</v>
      </c>
      <c r="O12" s="39"/>
      <c r="P12" s="39"/>
    </row>
    <row r="13" spans="1:24" s="21" customFormat="1" ht="39" customHeight="1">
      <c r="A13" s="31"/>
      <c r="B13" s="31"/>
      <c r="C13" s="31"/>
      <c r="D13" s="31"/>
      <c r="E13" s="31"/>
      <c r="F13" s="31"/>
      <c r="G13" s="31"/>
      <c r="H13" s="31"/>
      <c r="I13" s="31"/>
      <c r="J13" s="31"/>
      <c r="K13" s="31"/>
      <c r="L13" s="31"/>
      <c r="M13" s="48"/>
      <c r="N13" s="49" t="s">
        <v>27</v>
      </c>
      <c r="O13" s="50"/>
      <c r="P13" s="50"/>
    </row>
    <row r="14" spans="1:24" s="21" customFormat="1" ht="39" customHeight="1">
      <c r="A14" s="35" t="s">
        <v>28</v>
      </c>
      <c r="B14" s="23" t="s">
        <v>29</v>
      </c>
      <c r="C14" s="35" t="s">
        <v>30</v>
      </c>
      <c r="D14" s="23" t="s">
        <v>31</v>
      </c>
      <c r="E14" s="35" t="s">
        <v>32</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15/15</v>
      </c>
      <c r="G14" s="46" t="s">
        <v>33</v>
      </c>
      <c r="H14" s="31" t="str">
        <f ca="1">IF(LEN(B3)&lt;2, "", CLEAN(TRIM(SUBSTITUTE(SUBSTITUTE(SUBSTITUTE(SUBSTITUTE(B3, " ", "_"), "/", "_"), "\", "_"), ":", "_"))))</f>
        <v>Black_Belt_Webex_Calling_Deployment_Stage_1_(Aug_2026)</v>
      </c>
      <c r="I14" s="54" t="s">
        <v>34</v>
      </c>
      <c r="J14" s="36" t="str">
        <f ca="1">IF(LEN(B3)&lt;2,"",TEXT(TODAY(),"YYMMDD")&amp;_xlfn.CONCAT("_",SUBSTITUTE(SUBSTITUTE(SUBSTITUTE(SUBSTITUTE(B3, " ", "_"), "/", "_"), "\", "_"), ":", "_")))</f>
        <v>260812_Black_Belt_Webex_Calling_Deployment_Stage_1_(Aug_2026)</v>
      </c>
      <c r="K14" s="31" t="s">
        <v>35</v>
      </c>
      <c r="L14" s="31"/>
      <c r="M14" s="51" cm="1">
        <f t="array" aca="1" ref="M14" ca="1">_xlfn.LET(
    _xlpm.start, DATE(2026, 1, 26),
    _xlpm.steps, _xlfn.SEQUENCE(52, 1, 0),
    _xlpm.dates, _xlfn.MAP(_xlpm.steps, _xlfn.LAMBDA(_xlpm.k, _xlpm.start + (INT(_xlpm.k/3)*91) + CHOOSE(MOD(_xlpm.k,3)+1, 0, 28, 56))),
    MIN(_xlfn._xlws.FILTER(_xlpm.dates, _xlpm.dates &gt;= TODAY()))
)</f>
        <v>46258</v>
      </c>
      <c r="N14" s="67" t="s">
        <v>36</v>
      </c>
      <c r="O14" s="67"/>
      <c r="P14" s="67"/>
    </row>
    <row r="15" spans="1:24" s="21" customFormat="1" ht="39" customHeight="1">
      <c r="A15" s="31"/>
      <c r="B15" s="31"/>
      <c r="C15" s="31"/>
      <c r="D15" s="31"/>
      <c r="E15" s="31"/>
      <c r="F15" s="31"/>
      <c r="G15" s="31"/>
      <c r="H15" s="31"/>
      <c r="I15" s="31"/>
      <c r="J15" s="31"/>
      <c r="K15" s="31"/>
      <c r="L15" s="31"/>
    </row>
    <row r="16" spans="1:24" s="21" customFormat="1" ht="39" customHeight="1">
      <c r="A16" s="35" t="s">
        <v>37</v>
      </c>
      <c r="B16" s="23" t="s">
        <v>31</v>
      </c>
      <c r="C16" s="31" t="str">
        <f>IF($B$16="Yes","Portfolios Aligned","")</f>
        <v>Portfolios Aligned</v>
      </c>
      <c r="D16" s="47" t="s">
        <v>20</v>
      </c>
      <c r="E16" s="45"/>
      <c r="F16" s="45"/>
      <c r="G16" s="45"/>
      <c r="H16" s="45"/>
      <c r="I16" s="45"/>
      <c r="J16" s="31"/>
      <c r="K16" s="31"/>
      <c r="L16" s="31"/>
    </row>
    <row r="17" spans="1:23" s="16" customFormat="1" ht="29.1" customHeight="1">
      <c r="A17" s="15"/>
      <c r="B17" s="15"/>
      <c r="C17" s="15"/>
      <c r="D17" s="15"/>
      <c r="E17" s="15"/>
      <c r="F17" s="15"/>
      <c r="G17" s="15"/>
      <c r="H17" s="15"/>
      <c r="I17" s="15"/>
      <c r="J17" s="15"/>
      <c r="K17" s="15"/>
      <c r="L17" s="15"/>
    </row>
    <row r="18" spans="1:23" s="16" customFormat="1" ht="29.1" customHeight="1">
      <c r="A18" s="22" cm="1">
        <f t="array" ref="A18">IFERROR(ROWS(_xlfn.UNIQUE(_xlfn._xlws.FILTER($A$21:$A$103, $A$21:$A$103&lt;&gt;""))), 0)</f>
        <v>5</v>
      </c>
      <c r="B18" s="22" cm="1">
        <f t="array" ref="B18">IFERROR(ROWS(_xlfn.UNIQUE(_xlfn._xlws.FILTER($B$21:$B$103, $B$21:$B$103&lt;&gt;""))), 0)</f>
        <v>5</v>
      </c>
      <c r="C18" s="22">
        <f>COUNTA(MS[Section (M/O)])</f>
        <v>16</v>
      </c>
      <c r="D18" s="22">
        <f>COUNT(MS[Module Order])</f>
        <v>16</v>
      </c>
      <c r="E18" s="22">
        <f>COUNTA(MS[Module Type])</f>
        <v>16</v>
      </c>
      <c r="F18" s="22" cm="1">
        <f t="array" ref="F18">IFERROR(ROWS(_xlfn.UNIQUE(_xlfn._xlws.FILTER(MS[Module Title], MS[Module Title]&lt;&gt;""))), 0)</f>
        <v>16</v>
      </c>
      <c r="G18" s="22">
        <f>COUNT(MS[Duration (mins)])</f>
        <v>16</v>
      </c>
      <c r="H18" s="22" cm="1">
        <f t="array" ref="H18">SUMPRODUCT(--((MS[Module Description]&lt;&gt;"") + (ISNUMBER(SEARCH("Partnerlearning", MS[Module Link]))) + (MS[Module Type]="assessment") &gt; 0))</f>
        <v>16</v>
      </c>
      <c r="I18" s="22">
        <f>COUNTA(MS[Module (M/O)])</f>
        <v>16</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16</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16</v>
      </c>
      <c r="L18" s="22">
        <f>IF($J$12="Update",COUNTA($L$20:$L$103),"")</f>
        <v>0</v>
      </c>
    </row>
    <row r="19" spans="1:23" s="21" customFormat="1" ht="42" customHeight="1">
      <c r="A19" s="32" t="s">
        <v>38</v>
      </c>
      <c r="B19" s="32" t="s">
        <v>39</v>
      </c>
      <c r="C19" s="32" t="s">
        <v>40</v>
      </c>
      <c r="D19" s="32" t="s">
        <v>41</v>
      </c>
      <c r="E19" s="32" t="s">
        <v>42</v>
      </c>
      <c r="F19" s="32" t="s">
        <v>43</v>
      </c>
      <c r="G19" s="32" t="s">
        <v>18</v>
      </c>
      <c r="H19" s="32" t="s">
        <v>44</v>
      </c>
      <c r="I19" s="32" t="s">
        <v>45</v>
      </c>
      <c r="J19" s="32" t="s">
        <v>46</v>
      </c>
      <c r="K19" s="32" t="s">
        <v>47</v>
      </c>
      <c r="L19" s="31" t="str">
        <f>IF(J12="Update","Update","")</f>
        <v>Update</v>
      </c>
      <c r="M19" s="60" t="s">
        <v>48</v>
      </c>
      <c r="N19" s="60"/>
      <c r="O19" s="60"/>
      <c r="P19" s="60"/>
      <c r="Q19" s="60"/>
      <c r="R19" s="60"/>
      <c r="S19" s="60"/>
      <c r="T19" s="60"/>
      <c r="U19" s="60"/>
      <c r="V19" s="60"/>
      <c r="W19" s="61"/>
    </row>
    <row r="20" spans="1:23" s="21" customFormat="1" ht="42" customHeight="1">
      <c r="A20" s="59">
        <v>1</v>
      </c>
      <c r="B20" s="59" t="s">
        <v>49</v>
      </c>
      <c r="C20" s="59" t="s">
        <v>50</v>
      </c>
      <c r="D20" s="59">
        <v>1</v>
      </c>
      <c r="E20" s="59" t="s">
        <v>51</v>
      </c>
      <c r="F20" s="59" t="s">
        <v>52</v>
      </c>
      <c r="G20" s="59">
        <v>9</v>
      </c>
      <c r="H20" s="59" t="s">
        <v>53</v>
      </c>
      <c r="I20" s="59" t="s">
        <v>50</v>
      </c>
      <c r="J20" s="59" t="s">
        <v>54</v>
      </c>
      <c r="K20" s="26"/>
      <c r="L20" s="24"/>
      <c r="M20" s="73"/>
      <c r="N20" s="74"/>
      <c r="O20" s="74"/>
      <c r="P20" s="74"/>
      <c r="Q20" s="74"/>
      <c r="R20" s="74"/>
      <c r="S20" s="74"/>
      <c r="T20" s="74"/>
      <c r="U20" s="74"/>
      <c r="V20" s="74"/>
      <c r="W20" s="75"/>
    </row>
    <row r="21" spans="1:23" s="21" customFormat="1" ht="42" customHeight="1">
      <c r="A21" s="26">
        <v>1</v>
      </c>
      <c r="B21" s="26" t="s">
        <v>49</v>
      </c>
      <c r="C21" s="26" t="s">
        <v>50</v>
      </c>
      <c r="D21" s="26">
        <v>2</v>
      </c>
      <c r="E21" s="26" t="s">
        <v>55</v>
      </c>
      <c r="F21" s="26" t="s">
        <v>56</v>
      </c>
      <c r="G21" s="26">
        <v>10</v>
      </c>
      <c r="H21" s="26" t="s">
        <v>57</v>
      </c>
      <c r="I21" s="26" t="s">
        <v>50</v>
      </c>
      <c r="J21" s="26" t="s">
        <v>58</v>
      </c>
      <c r="K21" s="26" t="s">
        <v>59</v>
      </c>
      <c r="L21" s="24"/>
      <c r="M21" s="76"/>
      <c r="N21" s="66"/>
      <c r="O21" s="66"/>
      <c r="P21" s="66"/>
      <c r="Q21" s="66"/>
      <c r="R21" s="66"/>
      <c r="S21" s="66"/>
      <c r="T21" s="66"/>
      <c r="U21" s="66"/>
      <c r="V21" s="66"/>
      <c r="W21" s="77"/>
    </row>
    <row r="22" spans="1:23" s="21" customFormat="1" ht="42" customHeight="1">
      <c r="A22" s="26">
        <v>1</v>
      </c>
      <c r="B22" s="26" t="s">
        <v>49</v>
      </c>
      <c r="C22" s="26" t="s">
        <v>50</v>
      </c>
      <c r="D22" s="26">
        <v>3</v>
      </c>
      <c r="E22" s="26" t="s">
        <v>51</v>
      </c>
      <c r="F22" s="26" t="s">
        <v>60</v>
      </c>
      <c r="G22" s="26">
        <v>8</v>
      </c>
      <c r="H22" s="26" t="s">
        <v>61</v>
      </c>
      <c r="I22" s="26" t="s">
        <v>50</v>
      </c>
      <c r="J22" s="26" t="s">
        <v>62</v>
      </c>
      <c r="K22" s="26"/>
      <c r="L22" s="24"/>
      <c r="M22" s="76"/>
      <c r="N22" s="66"/>
      <c r="O22" s="66"/>
      <c r="P22" s="66"/>
      <c r="Q22" s="66"/>
      <c r="R22" s="66"/>
      <c r="S22" s="66"/>
      <c r="T22" s="66"/>
      <c r="U22" s="66"/>
      <c r="V22" s="66"/>
      <c r="W22" s="77"/>
    </row>
    <row r="23" spans="1:23" s="21" customFormat="1" ht="42" customHeight="1">
      <c r="A23" s="26">
        <v>2</v>
      </c>
      <c r="B23" s="26" t="s">
        <v>63</v>
      </c>
      <c r="C23" s="26" t="s">
        <v>50</v>
      </c>
      <c r="D23" s="57">
        <v>1</v>
      </c>
      <c r="E23" s="26" t="s">
        <v>51</v>
      </c>
      <c r="F23" s="26" t="s">
        <v>64</v>
      </c>
      <c r="G23" s="26">
        <v>6</v>
      </c>
      <c r="H23" s="26" t="s">
        <v>65</v>
      </c>
      <c r="I23" s="26" t="s">
        <v>50</v>
      </c>
      <c r="J23" s="26" t="s">
        <v>66</v>
      </c>
      <c r="K23" s="26" t="s">
        <v>67</v>
      </c>
      <c r="L23" s="24"/>
      <c r="M23" s="76"/>
      <c r="N23" s="66"/>
      <c r="O23" s="66"/>
      <c r="P23" s="66"/>
      <c r="Q23" s="66"/>
      <c r="R23" s="66"/>
      <c r="S23" s="66"/>
      <c r="T23" s="66"/>
      <c r="U23" s="66"/>
      <c r="V23" s="66"/>
      <c r="W23" s="77"/>
    </row>
    <row r="24" spans="1:23" s="21" customFormat="1" ht="42" customHeight="1">
      <c r="A24" s="26">
        <v>2</v>
      </c>
      <c r="B24" s="26" t="s">
        <v>63</v>
      </c>
      <c r="C24" s="26" t="s">
        <v>50</v>
      </c>
      <c r="D24" s="26">
        <v>2</v>
      </c>
      <c r="E24" s="26" t="s">
        <v>51</v>
      </c>
      <c r="F24" s="26" t="s">
        <v>68</v>
      </c>
      <c r="G24" s="26">
        <v>3</v>
      </c>
      <c r="H24" s="26" t="s">
        <v>69</v>
      </c>
      <c r="I24" s="26" t="s">
        <v>50</v>
      </c>
      <c r="J24" s="26" t="s">
        <v>70</v>
      </c>
      <c r="K24" s="26" t="s">
        <v>71</v>
      </c>
      <c r="L24" s="24"/>
      <c r="M24" s="76"/>
      <c r="N24" s="66"/>
      <c r="O24" s="66"/>
      <c r="P24" s="66"/>
      <c r="Q24" s="66"/>
      <c r="R24" s="66"/>
      <c r="S24" s="66"/>
      <c r="T24" s="66"/>
      <c r="U24" s="66"/>
      <c r="V24" s="66"/>
      <c r="W24" s="77"/>
    </row>
    <row r="25" spans="1:23" s="21" customFormat="1" ht="42" customHeight="1">
      <c r="A25" s="26">
        <v>2</v>
      </c>
      <c r="B25" s="26" t="s">
        <v>63</v>
      </c>
      <c r="C25" s="26" t="s">
        <v>50</v>
      </c>
      <c r="D25" s="26">
        <v>3</v>
      </c>
      <c r="E25" s="26" t="s">
        <v>51</v>
      </c>
      <c r="F25" s="26" t="s">
        <v>72</v>
      </c>
      <c r="G25" s="26">
        <v>9</v>
      </c>
      <c r="H25" s="26" t="s">
        <v>73</v>
      </c>
      <c r="I25" s="26" t="s">
        <v>50</v>
      </c>
      <c r="J25" s="26" t="s">
        <v>74</v>
      </c>
      <c r="K25" s="26" t="s">
        <v>75</v>
      </c>
      <c r="L25" s="24"/>
      <c r="M25" s="76"/>
      <c r="N25" s="66"/>
      <c r="O25" s="66"/>
      <c r="P25" s="66"/>
      <c r="Q25" s="66"/>
      <c r="R25" s="66"/>
      <c r="S25" s="66"/>
      <c r="T25" s="66"/>
      <c r="U25" s="66"/>
      <c r="V25" s="66"/>
      <c r="W25" s="77"/>
    </row>
    <row r="26" spans="1:23" s="21" customFormat="1" ht="42" customHeight="1">
      <c r="A26" s="26">
        <v>2</v>
      </c>
      <c r="B26" s="26" t="s">
        <v>63</v>
      </c>
      <c r="C26" s="26" t="s">
        <v>50</v>
      </c>
      <c r="D26" s="26">
        <v>4</v>
      </c>
      <c r="E26" s="26" t="s">
        <v>51</v>
      </c>
      <c r="F26" s="58" t="s">
        <v>76</v>
      </c>
      <c r="G26" s="26">
        <v>5</v>
      </c>
      <c r="H26" s="26" t="s">
        <v>77</v>
      </c>
      <c r="I26" s="26" t="s">
        <v>50</v>
      </c>
      <c r="J26" s="26" t="s">
        <v>78</v>
      </c>
      <c r="K26" s="26" t="s">
        <v>79</v>
      </c>
      <c r="L26" s="24"/>
      <c r="M26" s="76"/>
      <c r="N26" s="66"/>
      <c r="O26" s="66"/>
      <c r="P26" s="66"/>
      <c r="Q26" s="66"/>
      <c r="R26" s="66"/>
      <c r="S26" s="66"/>
      <c r="T26" s="66"/>
      <c r="U26" s="66"/>
      <c r="V26" s="66"/>
      <c r="W26" s="77"/>
    </row>
    <row r="27" spans="1:23" s="21" customFormat="1" ht="42" customHeight="1">
      <c r="A27" s="26">
        <v>2</v>
      </c>
      <c r="B27" s="26" t="s">
        <v>63</v>
      </c>
      <c r="C27" s="26" t="s">
        <v>50</v>
      </c>
      <c r="D27" s="26">
        <v>5</v>
      </c>
      <c r="E27" s="26" t="s">
        <v>51</v>
      </c>
      <c r="F27" s="58" t="s">
        <v>80</v>
      </c>
      <c r="G27" s="26">
        <v>1</v>
      </c>
      <c r="H27" s="26" t="s">
        <v>81</v>
      </c>
      <c r="I27" s="26" t="s">
        <v>50</v>
      </c>
      <c r="J27" s="26" t="s">
        <v>82</v>
      </c>
      <c r="K27" s="26" t="s">
        <v>83</v>
      </c>
      <c r="L27" s="24"/>
      <c r="M27" s="76"/>
      <c r="N27" s="66"/>
      <c r="O27" s="66"/>
      <c r="P27" s="66"/>
      <c r="Q27" s="66"/>
      <c r="R27" s="66"/>
      <c r="S27" s="66"/>
      <c r="T27" s="66"/>
      <c r="U27" s="66"/>
      <c r="V27" s="66"/>
      <c r="W27" s="77"/>
    </row>
    <row r="28" spans="1:23" s="21" customFormat="1" ht="42" customHeight="1">
      <c r="A28" s="26">
        <v>2</v>
      </c>
      <c r="B28" s="26" t="s">
        <v>63</v>
      </c>
      <c r="C28" s="26" t="s">
        <v>50</v>
      </c>
      <c r="D28" s="26">
        <v>6</v>
      </c>
      <c r="E28" s="26" t="s">
        <v>51</v>
      </c>
      <c r="F28" s="58" t="s">
        <v>84</v>
      </c>
      <c r="G28" s="26">
        <v>5</v>
      </c>
      <c r="H28" s="26" t="s">
        <v>85</v>
      </c>
      <c r="I28" s="26" t="s">
        <v>50</v>
      </c>
      <c r="J28" s="26" t="s">
        <v>86</v>
      </c>
      <c r="K28" s="26"/>
      <c r="L28" s="24"/>
      <c r="M28" s="76"/>
      <c r="N28" s="66"/>
      <c r="O28" s="66"/>
      <c r="P28" s="66"/>
      <c r="Q28" s="66"/>
      <c r="R28" s="66"/>
      <c r="S28" s="66"/>
      <c r="T28" s="66"/>
      <c r="U28" s="66"/>
      <c r="V28" s="66"/>
      <c r="W28" s="77"/>
    </row>
    <row r="29" spans="1:23" s="21" customFormat="1" ht="42" customHeight="1">
      <c r="A29" s="26">
        <v>3</v>
      </c>
      <c r="B29" s="26" t="s">
        <v>87</v>
      </c>
      <c r="C29" s="26" t="s">
        <v>50</v>
      </c>
      <c r="D29" s="26">
        <v>1</v>
      </c>
      <c r="E29" s="26" t="s">
        <v>51</v>
      </c>
      <c r="F29" s="26" t="s">
        <v>88</v>
      </c>
      <c r="G29" s="26">
        <v>11</v>
      </c>
      <c r="H29" s="26" t="s">
        <v>89</v>
      </c>
      <c r="I29" s="26" t="s">
        <v>50</v>
      </c>
      <c r="J29" s="26" t="s">
        <v>90</v>
      </c>
      <c r="K29" s="26"/>
      <c r="L29" s="24"/>
      <c r="M29" s="76"/>
      <c r="N29" s="66"/>
      <c r="O29" s="66"/>
      <c r="P29" s="66"/>
      <c r="Q29" s="66"/>
      <c r="R29" s="66"/>
      <c r="S29" s="66"/>
      <c r="T29" s="66"/>
      <c r="U29" s="66"/>
      <c r="V29" s="66"/>
      <c r="W29" s="77"/>
    </row>
    <row r="30" spans="1:23" s="21" customFormat="1" ht="42" customHeight="1">
      <c r="A30" s="26">
        <v>3</v>
      </c>
      <c r="B30" s="26" t="s">
        <v>87</v>
      </c>
      <c r="C30" s="26" t="s">
        <v>50</v>
      </c>
      <c r="D30" s="26">
        <v>2</v>
      </c>
      <c r="E30" s="26" t="s">
        <v>51</v>
      </c>
      <c r="F30" s="26" t="s">
        <v>91</v>
      </c>
      <c r="G30" s="26">
        <v>2</v>
      </c>
      <c r="H30" s="26" t="s">
        <v>92</v>
      </c>
      <c r="I30" s="26" t="s">
        <v>50</v>
      </c>
      <c r="J30" s="26" t="s">
        <v>93</v>
      </c>
      <c r="K30" s="26"/>
      <c r="L30" s="24"/>
      <c r="M30" s="76"/>
      <c r="N30" s="66"/>
      <c r="O30" s="66"/>
      <c r="P30" s="66"/>
      <c r="Q30" s="66"/>
      <c r="R30" s="66"/>
      <c r="S30" s="66"/>
      <c r="T30" s="66"/>
      <c r="U30" s="66"/>
      <c r="V30" s="66"/>
      <c r="W30" s="77"/>
    </row>
    <row r="31" spans="1:23" s="21" customFormat="1" ht="42" customHeight="1">
      <c r="A31" s="26">
        <v>3</v>
      </c>
      <c r="B31" s="26" t="s">
        <v>87</v>
      </c>
      <c r="C31" s="26" t="s">
        <v>50</v>
      </c>
      <c r="D31" s="26">
        <v>3</v>
      </c>
      <c r="E31" s="26" t="s">
        <v>51</v>
      </c>
      <c r="F31" s="26" t="s">
        <v>94</v>
      </c>
      <c r="G31" s="26">
        <v>2</v>
      </c>
      <c r="H31" s="26" t="s">
        <v>95</v>
      </c>
      <c r="I31" s="26" t="s">
        <v>50</v>
      </c>
      <c r="J31" s="26" t="s">
        <v>96</v>
      </c>
      <c r="K31" s="26"/>
      <c r="L31" s="24"/>
      <c r="M31" s="76"/>
      <c r="N31" s="66"/>
      <c r="O31" s="66"/>
      <c r="P31" s="66"/>
      <c r="Q31" s="66"/>
      <c r="R31" s="66"/>
      <c r="S31" s="66"/>
      <c r="T31" s="66"/>
      <c r="U31" s="66"/>
      <c r="V31" s="66"/>
      <c r="W31" s="77"/>
    </row>
    <row r="32" spans="1:23" s="21" customFormat="1" ht="42" customHeight="1">
      <c r="A32" s="26">
        <v>4</v>
      </c>
      <c r="B32" s="26" t="s">
        <v>97</v>
      </c>
      <c r="C32" s="26" t="s">
        <v>50</v>
      </c>
      <c r="D32" s="26">
        <v>1</v>
      </c>
      <c r="E32" s="26" t="s">
        <v>51</v>
      </c>
      <c r="F32" s="58" t="s">
        <v>98</v>
      </c>
      <c r="G32" s="26">
        <v>22</v>
      </c>
      <c r="H32" s="26" t="s">
        <v>99</v>
      </c>
      <c r="I32" s="26" t="s">
        <v>50</v>
      </c>
      <c r="J32" s="26" t="s">
        <v>100</v>
      </c>
      <c r="K32" s="37"/>
      <c r="L32" s="24"/>
      <c r="M32" s="76"/>
      <c r="N32" s="66"/>
      <c r="O32" s="66"/>
      <c r="P32" s="66"/>
      <c r="Q32" s="66"/>
      <c r="R32" s="66"/>
      <c r="S32" s="66"/>
      <c r="T32" s="66"/>
      <c r="U32" s="66"/>
      <c r="V32" s="66"/>
      <c r="W32" s="77"/>
    </row>
    <row r="33" spans="1:23" s="21" customFormat="1" ht="42" customHeight="1">
      <c r="A33" s="26">
        <v>4</v>
      </c>
      <c r="B33" s="26" t="s">
        <v>97</v>
      </c>
      <c r="C33" s="26" t="s">
        <v>50</v>
      </c>
      <c r="D33" s="26">
        <v>2</v>
      </c>
      <c r="E33" s="26" t="s">
        <v>51</v>
      </c>
      <c r="F33" s="58" t="s">
        <v>101</v>
      </c>
      <c r="G33" s="26">
        <v>8</v>
      </c>
      <c r="H33" s="26" t="s">
        <v>102</v>
      </c>
      <c r="I33" s="26" t="s">
        <v>50</v>
      </c>
      <c r="J33" s="26" t="s">
        <v>103</v>
      </c>
      <c r="K33" s="26"/>
      <c r="L33" s="24"/>
      <c r="M33" s="76"/>
      <c r="N33" s="66"/>
      <c r="O33" s="66"/>
      <c r="P33" s="66"/>
      <c r="Q33" s="66"/>
      <c r="R33" s="66"/>
      <c r="S33" s="66"/>
      <c r="T33" s="66"/>
      <c r="U33" s="66"/>
      <c r="V33" s="66"/>
      <c r="W33" s="77"/>
    </row>
    <row r="34" spans="1:23" s="21" customFormat="1" ht="42" customHeight="1">
      <c r="A34" s="26">
        <v>4</v>
      </c>
      <c r="B34" s="26" t="s">
        <v>97</v>
      </c>
      <c r="C34" s="26" t="s">
        <v>50</v>
      </c>
      <c r="D34" s="26">
        <v>3</v>
      </c>
      <c r="E34" s="26" t="s">
        <v>51</v>
      </c>
      <c r="F34" s="55" t="s">
        <v>104</v>
      </c>
      <c r="G34" s="26">
        <v>20</v>
      </c>
      <c r="H34" s="26" t="s">
        <v>105</v>
      </c>
      <c r="I34" s="26" t="s">
        <v>50</v>
      </c>
      <c r="J34" s="26" t="s">
        <v>106</v>
      </c>
      <c r="K34" s="26"/>
      <c r="L34" s="24"/>
      <c r="M34" s="76"/>
      <c r="N34" s="66"/>
      <c r="O34" s="66"/>
      <c r="P34" s="66"/>
      <c r="Q34" s="66"/>
      <c r="R34" s="66"/>
      <c r="S34" s="66"/>
      <c r="T34" s="66"/>
      <c r="U34" s="66"/>
      <c r="V34" s="66"/>
      <c r="W34" s="77"/>
    </row>
    <row r="35" spans="1:23" s="21" customFormat="1" ht="42" customHeight="1">
      <c r="A35" s="26">
        <v>5</v>
      </c>
      <c r="B35" s="26" t="s">
        <v>107</v>
      </c>
      <c r="C35" s="26" t="s">
        <v>108</v>
      </c>
      <c r="D35" s="26">
        <v>1</v>
      </c>
      <c r="E35" s="26" t="s">
        <v>107</v>
      </c>
      <c r="F35" s="26" t="s">
        <v>109</v>
      </c>
      <c r="G35" s="26">
        <v>20</v>
      </c>
      <c r="H35" s="26"/>
      <c r="I35" s="26" t="s">
        <v>108</v>
      </c>
      <c r="J35" s="26" t="s">
        <v>110</v>
      </c>
      <c r="K35" s="26"/>
      <c r="L35" s="24"/>
      <c r="M35" s="76"/>
      <c r="N35" s="66"/>
      <c r="O35" s="66"/>
      <c r="P35" s="66"/>
      <c r="Q35" s="66"/>
      <c r="R35" s="66"/>
      <c r="S35" s="66"/>
      <c r="T35" s="66"/>
      <c r="U35" s="66"/>
      <c r="V35" s="66"/>
      <c r="W35" s="77"/>
    </row>
    <row r="36" spans="1:23" s="21" customFormat="1" ht="42" customHeight="1">
      <c r="A36" s="26"/>
      <c r="B36" s="26"/>
      <c r="C36" s="26"/>
      <c r="D36" s="26"/>
      <c r="E36" s="26"/>
      <c r="F36" s="26"/>
      <c r="G36" s="26"/>
      <c r="H36" s="26"/>
      <c r="I36" s="26"/>
      <c r="J36" s="26"/>
      <c r="K36" s="26"/>
      <c r="L36" s="24"/>
      <c r="M36" s="76"/>
      <c r="N36" s="66"/>
      <c r="O36" s="66"/>
      <c r="P36" s="66"/>
      <c r="Q36" s="66"/>
      <c r="R36" s="66"/>
      <c r="S36" s="66"/>
      <c r="T36" s="66"/>
      <c r="U36" s="66"/>
      <c r="V36" s="66"/>
      <c r="W36" s="77"/>
    </row>
    <row r="37" spans="1:23" s="21" customFormat="1" ht="42" customHeight="1">
      <c r="A37" s="26"/>
      <c r="B37" s="26"/>
      <c r="C37" s="26"/>
      <c r="D37" s="26"/>
      <c r="E37" s="26"/>
      <c r="F37" s="26"/>
      <c r="G37" s="26"/>
      <c r="H37" s="26"/>
      <c r="I37" s="26"/>
      <c r="J37" s="26"/>
      <c r="K37" s="26"/>
      <c r="L37" s="24"/>
      <c r="M37" s="76"/>
      <c r="N37" s="66"/>
      <c r="O37" s="66"/>
      <c r="P37" s="66"/>
      <c r="Q37" s="66"/>
      <c r="R37" s="66"/>
      <c r="S37" s="66"/>
      <c r="T37" s="66"/>
      <c r="U37" s="66"/>
      <c r="V37" s="66"/>
      <c r="W37" s="77"/>
    </row>
    <row r="38" spans="1:23" s="21" customFormat="1" ht="42" customHeight="1">
      <c r="A38" s="26"/>
      <c r="B38" s="26"/>
      <c r="C38" s="26"/>
      <c r="D38" s="26"/>
      <c r="E38" s="26"/>
      <c r="F38" s="26"/>
      <c r="G38" s="26"/>
      <c r="H38" s="26"/>
      <c r="I38" s="26"/>
      <c r="J38" s="26"/>
      <c r="K38" s="26"/>
      <c r="L38" s="24"/>
      <c r="M38" s="76"/>
      <c r="N38" s="66"/>
      <c r="O38" s="66"/>
      <c r="P38" s="66"/>
      <c r="Q38" s="66"/>
      <c r="R38" s="66"/>
      <c r="S38" s="66"/>
      <c r="T38" s="66"/>
      <c r="U38" s="66"/>
      <c r="V38" s="66"/>
      <c r="W38" s="77"/>
    </row>
    <row r="39" spans="1:23" s="21" customFormat="1" ht="42" customHeight="1">
      <c r="A39" s="26"/>
      <c r="B39" s="26"/>
      <c r="C39" s="26"/>
      <c r="D39" s="26"/>
      <c r="E39" s="26"/>
      <c r="F39" s="26"/>
      <c r="G39" s="26"/>
      <c r="H39" s="26"/>
      <c r="I39" s="26"/>
      <c r="J39" s="26"/>
      <c r="K39" s="26"/>
      <c r="L39" s="24"/>
      <c r="M39" s="76"/>
      <c r="N39" s="66"/>
      <c r="O39" s="66"/>
      <c r="P39" s="66"/>
      <c r="Q39" s="66"/>
      <c r="R39" s="66"/>
      <c r="S39" s="66"/>
      <c r="T39" s="66"/>
      <c r="U39" s="66"/>
      <c r="V39" s="66"/>
      <c r="W39" s="77"/>
    </row>
    <row r="40" spans="1:23" s="21" customFormat="1" ht="42" customHeight="1">
      <c r="A40" s="26"/>
      <c r="B40" s="26"/>
      <c r="C40" s="26"/>
      <c r="D40" s="26"/>
      <c r="E40" s="26"/>
      <c r="F40" s="26"/>
      <c r="G40" s="26"/>
      <c r="H40" s="26"/>
      <c r="I40" s="26"/>
      <c r="J40" s="26"/>
      <c r="K40" s="26"/>
      <c r="L40" s="24"/>
      <c r="M40" s="76"/>
      <c r="N40" s="66"/>
      <c r="O40" s="66"/>
      <c r="P40" s="66"/>
      <c r="Q40" s="66"/>
      <c r="R40" s="66"/>
      <c r="S40" s="66"/>
      <c r="T40" s="66"/>
      <c r="U40" s="66"/>
      <c r="V40" s="66"/>
      <c r="W40" s="77"/>
    </row>
    <row r="41" spans="1:23" s="21" customFormat="1" ht="42" customHeight="1">
      <c r="A41" s="26"/>
      <c r="B41" s="26"/>
      <c r="C41" s="26"/>
      <c r="D41" s="26"/>
      <c r="E41" s="26"/>
      <c r="F41" s="26"/>
      <c r="G41" s="26"/>
      <c r="H41" s="26"/>
      <c r="I41" s="26"/>
      <c r="J41" s="26"/>
      <c r="K41" s="26"/>
      <c r="L41" s="24"/>
      <c r="M41" s="76"/>
      <c r="N41" s="66"/>
      <c r="O41" s="66"/>
      <c r="P41" s="66"/>
      <c r="Q41" s="66"/>
      <c r="R41" s="66"/>
      <c r="S41" s="66"/>
      <c r="T41" s="66"/>
      <c r="U41" s="66"/>
      <c r="V41" s="66"/>
      <c r="W41" s="77"/>
    </row>
    <row r="42" spans="1:23" s="21" customFormat="1" ht="42" customHeight="1">
      <c r="A42" s="26"/>
      <c r="B42" s="26"/>
      <c r="C42" s="26"/>
      <c r="D42" s="26"/>
      <c r="E42" s="26"/>
      <c r="F42" s="26"/>
      <c r="G42" s="26"/>
      <c r="H42" s="26"/>
      <c r="I42" s="26"/>
      <c r="J42" s="26"/>
      <c r="K42" s="26"/>
      <c r="L42" s="24"/>
      <c r="M42" s="76"/>
      <c r="N42" s="66"/>
      <c r="O42" s="66"/>
      <c r="P42" s="66"/>
      <c r="Q42" s="66"/>
      <c r="R42" s="66"/>
      <c r="S42" s="66"/>
      <c r="T42" s="66"/>
      <c r="U42" s="66"/>
      <c r="V42" s="66"/>
      <c r="W42" s="77"/>
    </row>
    <row r="43" spans="1:23" s="21" customFormat="1" ht="42" customHeight="1">
      <c r="A43" s="26"/>
      <c r="B43" s="26"/>
      <c r="C43" s="26"/>
      <c r="D43" s="26"/>
      <c r="E43" s="26"/>
      <c r="F43" s="26"/>
      <c r="G43" s="26"/>
      <c r="H43" s="26"/>
      <c r="I43" s="26"/>
      <c r="J43" s="26"/>
      <c r="K43" s="26"/>
      <c r="L43" s="24"/>
      <c r="M43" s="76"/>
      <c r="N43" s="66"/>
      <c r="O43" s="66"/>
      <c r="P43" s="66"/>
      <c r="Q43" s="66"/>
      <c r="R43" s="66"/>
      <c r="S43" s="66"/>
      <c r="T43" s="66"/>
      <c r="U43" s="66"/>
      <c r="V43" s="66"/>
      <c r="W43" s="77"/>
    </row>
    <row r="44" spans="1:23" s="21" customFormat="1" ht="42" customHeight="1">
      <c r="A44" s="26"/>
      <c r="B44" s="26"/>
      <c r="C44" s="26"/>
      <c r="D44" s="26"/>
      <c r="E44" s="26"/>
      <c r="F44" s="26"/>
      <c r="G44" s="26"/>
      <c r="H44" s="26"/>
      <c r="I44" s="26"/>
      <c r="J44" s="26"/>
      <c r="K44" s="26"/>
      <c r="L44" s="24"/>
      <c r="M44" s="76"/>
      <c r="N44" s="66"/>
      <c r="O44" s="66"/>
      <c r="P44" s="66"/>
      <c r="Q44" s="66"/>
      <c r="R44" s="66"/>
      <c r="S44" s="66"/>
      <c r="T44" s="66"/>
      <c r="U44" s="66"/>
      <c r="V44" s="66"/>
      <c r="W44" s="77"/>
    </row>
    <row r="45" spans="1:23" s="21" customFormat="1" ht="42" customHeight="1">
      <c r="A45" s="26"/>
      <c r="B45" s="26"/>
      <c r="C45" s="26"/>
      <c r="D45" s="26"/>
      <c r="E45" s="26"/>
      <c r="F45" s="26"/>
      <c r="G45" s="26"/>
      <c r="H45" s="26"/>
      <c r="I45" s="26"/>
      <c r="J45" s="26"/>
      <c r="K45" s="26"/>
      <c r="L45" s="24"/>
      <c r="M45" s="76"/>
      <c r="N45" s="66"/>
      <c r="O45" s="66"/>
      <c r="P45" s="66"/>
      <c r="Q45" s="66"/>
      <c r="R45" s="66"/>
      <c r="S45" s="66"/>
      <c r="T45" s="66"/>
      <c r="U45" s="66"/>
      <c r="V45" s="66"/>
      <c r="W45" s="77"/>
    </row>
    <row r="46" spans="1:23" s="21" customFormat="1" ht="42" customHeight="1">
      <c r="A46" s="26"/>
      <c r="B46" s="26"/>
      <c r="C46" s="26"/>
      <c r="D46" s="26"/>
      <c r="E46" s="26"/>
      <c r="F46" s="26"/>
      <c r="G46" s="26"/>
      <c r="H46" s="26"/>
      <c r="I46" s="26"/>
      <c r="J46" s="26"/>
      <c r="K46" s="26"/>
      <c r="L46" s="24"/>
      <c r="M46" s="76"/>
      <c r="N46" s="66"/>
      <c r="O46" s="66"/>
      <c r="P46" s="66"/>
      <c r="Q46" s="66"/>
      <c r="R46" s="66"/>
      <c r="S46" s="66"/>
      <c r="T46" s="66"/>
      <c r="U46" s="66"/>
      <c r="V46" s="66"/>
      <c r="W46" s="77"/>
    </row>
    <row r="47" spans="1:23" s="21" customFormat="1" ht="42" customHeight="1">
      <c r="A47" s="26"/>
      <c r="B47" s="26"/>
      <c r="C47" s="26"/>
      <c r="D47" s="26"/>
      <c r="E47" s="26"/>
      <c r="F47" s="26"/>
      <c r="G47" s="26"/>
      <c r="H47" s="26"/>
      <c r="I47" s="26"/>
      <c r="J47" s="26"/>
      <c r="K47" s="26"/>
      <c r="L47" s="24"/>
      <c r="M47" s="76"/>
      <c r="N47" s="66"/>
      <c r="O47" s="66"/>
      <c r="P47" s="66"/>
      <c r="Q47" s="66"/>
      <c r="R47" s="66"/>
      <c r="S47" s="66"/>
      <c r="T47" s="66"/>
      <c r="U47" s="66"/>
      <c r="V47" s="66"/>
      <c r="W47" s="77"/>
    </row>
    <row r="48" spans="1:23" s="21" customFormat="1" ht="42" customHeight="1">
      <c r="A48" s="26"/>
      <c r="B48" s="26"/>
      <c r="C48" s="26"/>
      <c r="D48" s="26"/>
      <c r="E48" s="26"/>
      <c r="F48" s="26"/>
      <c r="G48" s="26"/>
      <c r="H48" s="26"/>
      <c r="I48" s="26"/>
      <c r="J48" s="26"/>
      <c r="K48" s="26"/>
      <c r="L48" s="24"/>
      <c r="M48" s="76"/>
      <c r="N48" s="66"/>
      <c r="O48" s="66"/>
      <c r="P48" s="66"/>
      <c r="Q48" s="66"/>
      <c r="R48" s="66"/>
      <c r="S48" s="66"/>
      <c r="T48" s="66"/>
      <c r="U48" s="66"/>
      <c r="V48" s="66"/>
      <c r="W48" s="77"/>
    </row>
    <row r="49" spans="1:23" s="21" customFormat="1" ht="42" customHeight="1">
      <c r="A49" s="26"/>
      <c r="B49" s="26"/>
      <c r="C49" s="26"/>
      <c r="D49" s="26"/>
      <c r="E49" s="26"/>
      <c r="F49" s="26"/>
      <c r="G49" s="26"/>
      <c r="H49" s="26"/>
      <c r="I49" s="26"/>
      <c r="J49" s="26"/>
      <c r="K49" s="26"/>
      <c r="L49" s="24"/>
      <c r="M49" s="76"/>
      <c r="N49" s="66"/>
      <c r="O49" s="66"/>
      <c r="P49" s="66"/>
      <c r="Q49" s="66"/>
      <c r="R49" s="66"/>
      <c r="S49" s="66"/>
      <c r="T49" s="66"/>
      <c r="U49" s="66"/>
      <c r="V49" s="66"/>
      <c r="W49" s="77"/>
    </row>
    <row r="50" spans="1:23" s="21" customFormat="1" ht="42" customHeight="1">
      <c r="A50" s="26"/>
      <c r="B50" s="26"/>
      <c r="C50" s="26"/>
      <c r="D50" s="26"/>
      <c r="E50" s="26"/>
      <c r="F50" s="26"/>
      <c r="G50" s="26"/>
      <c r="H50" s="26"/>
      <c r="I50" s="26"/>
      <c r="J50" s="26"/>
      <c r="K50" s="26"/>
      <c r="L50" s="24"/>
      <c r="M50" s="76"/>
      <c r="N50" s="66"/>
      <c r="O50" s="66"/>
      <c r="P50" s="66"/>
      <c r="Q50" s="66"/>
      <c r="R50" s="66"/>
      <c r="S50" s="66"/>
      <c r="T50" s="66"/>
      <c r="U50" s="66"/>
      <c r="V50" s="66"/>
      <c r="W50" s="77"/>
    </row>
    <row r="51" spans="1:23" s="21" customFormat="1" ht="42" customHeight="1">
      <c r="A51" s="26"/>
      <c r="B51" s="26"/>
      <c r="C51" s="26"/>
      <c r="D51" s="26"/>
      <c r="E51" s="26"/>
      <c r="F51" s="26"/>
      <c r="G51" s="26"/>
      <c r="H51" s="26"/>
      <c r="I51" s="26"/>
      <c r="J51" s="26"/>
      <c r="K51" s="26"/>
      <c r="L51" s="24"/>
      <c r="M51" s="76"/>
      <c r="N51" s="66"/>
      <c r="O51" s="66"/>
      <c r="P51" s="66"/>
      <c r="Q51" s="66"/>
      <c r="R51" s="66"/>
      <c r="S51" s="66"/>
      <c r="T51" s="66"/>
      <c r="U51" s="66"/>
      <c r="V51" s="66"/>
      <c r="W51" s="77"/>
    </row>
    <row r="52" spans="1:23" s="21" customFormat="1" ht="42" customHeight="1">
      <c r="A52" s="26"/>
      <c r="B52" s="26"/>
      <c r="C52" s="26"/>
      <c r="D52" s="26"/>
      <c r="E52" s="26"/>
      <c r="F52" s="26"/>
      <c r="G52" s="26"/>
      <c r="H52" s="26"/>
      <c r="I52" s="26"/>
      <c r="J52" s="26"/>
      <c r="K52" s="26"/>
      <c r="L52" s="24"/>
      <c r="M52" s="76"/>
      <c r="N52" s="66"/>
      <c r="O52" s="66"/>
      <c r="P52" s="66"/>
      <c r="Q52" s="66"/>
      <c r="R52" s="66"/>
      <c r="S52" s="66"/>
      <c r="T52" s="66"/>
      <c r="U52" s="66"/>
      <c r="V52" s="66"/>
      <c r="W52" s="77"/>
    </row>
    <row r="53" spans="1:23" s="21" customFormat="1" ht="42" customHeight="1">
      <c r="A53" s="26"/>
      <c r="B53" s="26"/>
      <c r="C53" s="26"/>
      <c r="D53" s="26"/>
      <c r="E53" s="26"/>
      <c r="F53" s="26"/>
      <c r="G53" s="26"/>
      <c r="H53" s="26"/>
      <c r="I53" s="26"/>
      <c r="J53" s="26"/>
      <c r="K53" s="26"/>
      <c r="L53" s="24"/>
      <c r="M53" s="76"/>
      <c r="N53" s="66"/>
      <c r="O53" s="66"/>
      <c r="P53" s="66"/>
      <c r="Q53" s="66"/>
      <c r="R53" s="66"/>
      <c r="S53" s="66"/>
      <c r="T53" s="66"/>
      <c r="U53" s="66"/>
      <c r="V53" s="66"/>
      <c r="W53" s="77"/>
    </row>
    <row r="54" spans="1:23" s="21" customFormat="1" ht="42" customHeight="1">
      <c r="A54" s="26"/>
      <c r="B54" s="26"/>
      <c r="C54" s="26"/>
      <c r="D54" s="26"/>
      <c r="E54" s="26"/>
      <c r="F54" s="26"/>
      <c r="G54" s="26"/>
      <c r="H54" s="26"/>
      <c r="I54" s="26"/>
      <c r="J54" s="26"/>
      <c r="K54" s="26"/>
      <c r="L54" s="24"/>
      <c r="M54" s="76"/>
      <c r="N54" s="66"/>
      <c r="O54" s="66"/>
      <c r="P54" s="66"/>
      <c r="Q54" s="66"/>
      <c r="R54" s="66"/>
      <c r="S54" s="66"/>
      <c r="T54" s="66"/>
      <c r="U54" s="66"/>
      <c r="V54" s="66"/>
      <c r="W54" s="77"/>
    </row>
    <row r="55" spans="1:23" s="21" customFormat="1" ht="42" customHeight="1">
      <c r="A55" s="26"/>
      <c r="B55" s="26"/>
      <c r="C55" s="26"/>
      <c r="D55" s="26"/>
      <c r="E55" s="26"/>
      <c r="F55" s="26"/>
      <c r="G55" s="26"/>
      <c r="H55" s="26"/>
      <c r="I55" s="26"/>
      <c r="J55" s="26"/>
      <c r="K55" s="26"/>
      <c r="L55" s="24"/>
      <c r="M55" s="76"/>
      <c r="N55" s="66"/>
      <c r="O55" s="66"/>
      <c r="P55" s="66"/>
      <c r="Q55" s="66"/>
      <c r="R55" s="66"/>
      <c r="S55" s="66"/>
      <c r="T55" s="66"/>
      <c r="U55" s="66"/>
      <c r="V55" s="66"/>
      <c r="W55" s="77"/>
    </row>
    <row r="56" spans="1:23" s="21" customFormat="1" ht="42" customHeight="1">
      <c r="A56" s="26"/>
      <c r="B56" s="26"/>
      <c r="C56" s="26"/>
      <c r="D56" s="26"/>
      <c r="E56" s="26"/>
      <c r="F56" s="26"/>
      <c r="G56" s="26"/>
      <c r="H56" s="26"/>
      <c r="I56" s="26"/>
      <c r="J56" s="26"/>
      <c r="K56" s="26"/>
      <c r="L56" s="24"/>
      <c r="M56" s="76"/>
      <c r="N56" s="66"/>
      <c r="O56" s="66"/>
      <c r="P56" s="66"/>
      <c r="Q56" s="66"/>
      <c r="R56" s="66"/>
      <c r="S56" s="66"/>
      <c r="T56" s="66"/>
      <c r="U56" s="66"/>
      <c r="V56" s="66"/>
      <c r="W56" s="77"/>
    </row>
    <row r="57" spans="1:23" s="21" customFormat="1" ht="42" customHeight="1">
      <c r="A57" s="26"/>
      <c r="B57" s="26"/>
      <c r="C57" s="26"/>
      <c r="D57" s="26"/>
      <c r="E57" s="26"/>
      <c r="F57" s="26"/>
      <c r="G57" s="26"/>
      <c r="H57" s="26"/>
      <c r="I57" s="26"/>
      <c r="J57" s="26"/>
      <c r="K57" s="26"/>
      <c r="L57" s="24"/>
      <c r="M57" s="76"/>
      <c r="N57" s="66"/>
      <c r="O57" s="66"/>
      <c r="P57" s="66"/>
      <c r="Q57" s="66"/>
      <c r="R57" s="66"/>
      <c r="S57" s="66"/>
      <c r="T57" s="66"/>
      <c r="U57" s="66"/>
      <c r="V57" s="66"/>
      <c r="W57" s="77"/>
    </row>
    <row r="58" spans="1:23" s="21" customFormat="1" ht="42" customHeight="1">
      <c r="A58" s="26"/>
      <c r="B58" s="26"/>
      <c r="C58" s="26"/>
      <c r="D58" s="26"/>
      <c r="E58" s="26"/>
      <c r="F58" s="26"/>
      <c r="G58" s="26"/>
      <c r="H58" s="26"/>
      <c r="I58" s="26"/>
      <c r="J58" s="26"/>
      <c r="K58" s="26"/>
      <c r="L58" s="24"/>
      <c r="M58" s="76"/>
      <c r="N58" s="66"/>
      <c r="O58" s="66"/>
      <c r="P58" s="66"/>
      <c r="Q58" s="66"/>
      <c r="R58" s="66"/>
      <c r="S58" s="66"/>
      <c r="T58" s="66"/>
      <c r="U58" s="66"/>
      <c r="V58" s="66"/>
      <c r="W58" s="77"/>
    </row>
    <row r="59" spans="1:23" s="21" customFormat="1" ht="42" customHeight="1">
      <c r="A59" s="26"/>
      <c r="B59" s="26"/>
      <c r="C59" s="26"/>
      <c r="D59" s="26"/>
      <c r="E59" s="26"/>
      <c r="F59" s="26"/>
      <c r="G59" s="26"/>
      <c r="H59" s="26"/>
      <c r="I59" s="26"/>
      <c r="J59" s="26"/>
      <c r="K59" s="26"/>
      <c r="L59" s="24"/>
      <c r="M59" s="76"/>
      <c r="N59" s="66"/>
      <c r="O59" s="66"/>
      <c r="P59" s="66"/>
      <c r="Q59" s="66"/>
      <c r="R59" s="66"/>
      <c r="S59" s="66"/>
      <c r="T59" s="66"/>
      <c r="U59" s="66"/>
      <c r="V59" s="66"/>
      <c r="W59" s="77"/>
    </row>
    <row r="60" spans="1:23" s="21" customFormat="1" ht="42" customHeight="1">
      <c r="A60" s="26"/>
      <c r="B60" s="26"/>
      <c r="C60" s="26"/>
      <c r="D60" s="26"/>
      <c r="E60" s="26"/>
      <c r="F60" s="26"/>
      <c r="G60" s="26"/>
      <c r="H60" s="26"/>
      <c r="I60" s="26"/>
      <c r="J60" s="26"/>
      <c r="K60" s="26"/>
      <c r="L60" s="24"/>
      <c r="M60" s="76"/>
      <c r="N60" s="66"/>
      <c r="O60" s="66"/>
      <c r="P60" s="66"/>
      <c r="Q60" s="66"/>
      <c r="R60" s="66"/>
      <c r="S60" s="66"/>
      <c r="T60" s="66"/>
      <c r="U60" s="66"/>
      <c r="V60" s="66"/>
      <c r="W60" s="77"/>
    </row>
    <row r="61" spans="1:23" s="21" customFormat="1" ht="42" customHeight="1">
      <c r="A61" s="26"/>
      <c r="B61" s="26"/>
      <c r="C61" s="26"/>
      <c r="D61" s="26"/>
      <c r="E61" s="26"/>
      <c r="F61" s="26"/>
      <c r="G61" s="26"/>
      <c r="H61" s="26"/>
      <c r="I61" s="26"/>
      <c r="J61" s="26"/>
      <c r="K61" s="26"/>
      <c r="L61" s="24"/>
      <c r="M61" s="76"/>
      <c r="N61" s="66"/>
      <c r="O61" s="66"/>
      <c r="P61" s="66"/>
      <c r="Q61" s="66"/>
      <c r="R61" s="66"/>
      <c r="S61" s="66"/>
      <c r="T61" s="66"/>
      <c r="U61" s="66"/>
      <c r="V61" s="66"/>
      <c r="W61" s="77"/>
    </row>
    <row r="62" spans="1:23" s="21" customFormat="1" ht="42" customHeight="1">
      <c r="A62" s="26"/>
      <c r="B62" s="26"/>
      <c r="C62" s="26"/>
      <c r="D62" s="26"/>
      <c r="E62" s="26"/>
      <c r="F62" s="26"/>
      <c r="G62" s="26"/>
      <c r="H62" s="26"/>
      <c r="I62" s="26"/>
      <c r="J62" s="26"/>
      <c r="K62" s="26"/>
      <c r="L62" s="24"/>
      <c r="M62" s="76"/>
      <c r="N62" s="66"/>
      <c r="O62" s="66"/>
      <c r="P62" s="66"/>
      <c r="Q62" s="66"/>
      <c r="R62" s="66"/>
      <c r="S62" s="66"/>
      <c r="T62" s="66"/>
      <c r="U62" s="66"/>
      <c r="V62" s="66"/>
      <c r="W62" s="77"/>
    </row>
    <row r="63" spans="1:23" s="21" customFormat="1" ht="42" customHeight="1">
      <c r="A63" s="26"/>
      <c r="B63" s="26"/>
      <c r="C63" s="26"/>
      <c r="D63" s="26"/>
      <c r="E63" s="26"/>
      <c r="F63" s="26"/>
      <c r="G63" s="26"/>
      <c r="H63" s="26"/>
      <c r="I63" s="26"/>
      <c r="J63" s="26"/>
      <c r="K63" s="26"/>
      <c r="L63" s="24"/>
      <c r="M63" s="76"/>
      <c r="N63" s="66"/>
      <c r="O63" s="66"/>
      <c r="P63" s="66"/>
      <c r="Q63" s="66"/>
      <c r="R63" s="66"/>
      <c r="S63" s="66"/>
      <c r="T63" s="66"/>
      <c r="U63" s="66"/>
      <c r="V63" s="66"/>
      <c r="W63" s="77"/>
    </row>
    <row r="64" spans="1:23" s="21" customFormat="1" ht="42" customHeight="1">
      <c r="A64" s="26"/>
      <c r="B64" s="26"/>
      <c r="C64" s="26"/>
      <c r="D64" s="26"/>
      <c r="E64" s="26"/>
      <c r="F64" s="26"/>
      <c r="G64" s="26"/>
      <c r="H64" s="26"/>
      <c r="I64" s="26"/>
      <c r="J64" s="26"/>
      <c r="K64" s="26"/>
      <c r="L64" s="24"/>
      <c r="M64" s="76"/>
      <c r="N64" s="66"/>
      <c r="O64" s="66"/>
      <c r="P64" s="66"/>
      <c r="Q64" s="66"/>
      <c r="R64" s="66"/>
      <c r="S64" s="66"/>
      <c r="T64" s="66"/>
      <c r="U64" s="66"/>
      <c r="V64" s="66"/>
      <c r="W64" s="77"/>
    </row>
    <row r="65" spans="1:23" s="21" customFormat="1" ht="42" customHeight="1">
      <c r="A65" s="26"/>
      <c r="B65" s="26"/>
      <c r="C65" s="26"/>
      <c r="D65" s="26"/>
      <c r="E65" s="26"/>
      <c r="F65" s="26"/>
      <c r="G65" s="26"/>
      <c r="H65" s="26"/>
      <c r="I65" s="26"/>
      <c r="J65" s="26"/>
      <c r="K65" s="26"/>
      <c r="L65" s="24"/>
      <c r="M65" s="76"/>
      <c r="N65" s="66"/>
      <c r="O65" s="66"/>
      <c r="P65" s="66"/>
      <c r="Q65" s="66"/>
      <c r="R65" s="66"/>
      <c r="S65" s="66"/>
      <c r="T65" s="66"/>
      <c r="U65" s="66"/>
      <c r="V65" s="66"/>
      <c r="W65" s="77"/>
    </row>
    <row r="66" spans="1:23" s="21" customFormat="1" ht="42" customHeight="1">
      <c r="A66" s="26"/>
      <c r="B66" s="26"/>
      <c r="C66" s="26"/>
      <c r="D66" s="26"/>
      <c r="E66" s="26"/>
      <c r="F66" s="26"/>
      <c r="G66" s="26"/>
      <c r="H66" s="26"/>
      <c r="I66" s="26"/>
      <c r="J66" s="26"/>
      <c r="K66" s="26"/>
      <c r="L66" s="24"/>
      <c r="M66" s="76"/>
      <c r="N66" s="66"/>
      <c r="O66" s="66"/>
      <c r="P66" s="66"/>
      <c r="Q66" s="66"/>
      <c r="R66" s="66"/>
      <c r="S66" s="66"/>
      <c r="T66" s="66"/>
      <c r="U66" s="66"/>
      <c r="V66" s="66"/>
      <c r="W66" s="77"/>
    </row>
    <row r="67" spans="1:23" s="21" customFormat="1" ht="42" customHeight="1">
      <c r="A67" s="26"/>
      <c r="B67" s="26"/>
      <c r="C67" s="26"/>
      <c r="D67" s="26"/>
      <c r="E67" s="26"/>
      <c r="F67" s="26"/>
      <c r="G67" s="26"/>
      <c r="H67" s="26"/>
      <c r="I67" s="26"/>
      <c r="J67" s="26"/>
      <c r="K67" s="26"/>
      <c r="L67" s="24"/>
      <c r="M67" s="76"/>
      <c r="N67" s="66"/>
      <c r="O67" s="66"/>
      <c r="P67" s="66"/>
      <c r="Q67" s="66"/>
      <c r="R67" s="66"/>
      <c r="S67" s="66"/>
      <c r="T67" s="66"/>
      <c r="U67" s="66"/>
      <c r="V67" s="66"/>
      <c r="W67" s="77"/>
    </row>
    <row r="68" spans="1:23" s="21" customFormat="1" ht="42" customHeight="1">
      <c r="A68" s="26"/>
      <c r="B68" s="26"/>
      <c r="C68" s="26"/>
      <c r="D68" s="26"/>
      <c r="E68" s="26"/>
      <c r="F68" s="26"/>
      <c r="G68" s="26"/>
      <c r="H68" s="26"/>
      <c r="I68" s="26"/>
      <c r="J68" s="26"/>
      <c r="K68" s="26"/>
      <c r="L68" s="24"/>
      <c r="M68" s="76"/>
      <c r="N68" s="66"/>
      <c r="O68" s="66"/>
      <c r="P68" s="66"/>
      <c r="Q68" s="66"/>
      <c r="R68" s="66"/>
      <c r="S68" s="66"/>
      <c r="T68" s="66"/>
      <c r="U68" s="66"/>
      <c r="V68" s="66"/>
      <c r="W68" s="77"/>
    </row>
    <row r="69" spans="1:23" s="21" customFormat="1" ht="42" customHeight="1">
      <c r="A69" s="26"/>
      <c r="B69" s="26"/>
      <c r="C69" s="26"/>
      <c r="D69" s="26"/>
      <c r="E69" s="26"/>
      <c r="F69" s="26"/>
      <c r="G69" s="26"/>
      <c r="H69" s="26"/>
      <c r="I69" s="26"/>
      <c r="J69" s="26"/>
      <c r="K69" s="26"/>
      <c r="L69" s="24"/>
      <c r="M69" s="76"/>
      <c r="N69" s="66"/>
      <c r="O69" s="66"/>
      <c r="P69" s="66"/>
      <c r="Q69" s="66"/>
      <c r="R69" s="66"/>
      <c r="S69" s="66"/>
      <c r="T69" s="66"/>
      <c r="U69" s="66"/>
      <c r="V69" s="66"/>
      <c r="W69" s="77"/>
    </row>
    <row r="70" spans="1:23" s="21" customFormat="1" ht="42" customHeight="1">
      <c r="A70" s="26"/>
      <c r="B70" s="26"/>
      <c r="C70" s="26"/>
      <c r="D70" s="26"/>
      <c r="E70" s="26"/>
      <c r="F70" s="26"/>
      <c r="G70" s="26"/>
      <c r="H70" s="26"/>
      <c r="I70" s="26"/>
      <c r="J70" s="26"/>
      <c r="K70" s="26"/>
      <c r="L70" s="24"/>
      <c r="M70" s="76"/>
      <c r="N70" s="66"/>
      <c r="O70" s="66"/>
      <c r="P70" s="66"/>
      <c r="Q70" s="66"/>
      <c r="R70" s="66"/>
      <c r="S70" s="66"/>
      <c r="T70" s="66"/>
      <c r="U70" s="66"/>
      <c r="V70" s="66"/>
      <c r="W70" s="77"/>
    </row>
    <row r="71" spans="1:23" s="21" customFormat="1" ht="42" customHeight="1">
      <c r="A71" s="26"/>
      <c r="B71" s="26"/>
      <c r="C71" s="26"/>
      <c r="D71" s="26"/>
      <c r="E71" s="26"/>
      <c r="F71" s="26"/>
      <c r="G71" s="26"/>
      <c r="H71" s="26"/>
      <c r="I71" s="26"/>
      <c r="J71" s="26"/>
      <c r="K71" s="26"/>
      <c r="L71" s="24"/>
      <c r="M71" s="76"/>
      <c r="N71" s="66"/>
      <c r="O71" s="66"/>
      <c r="P71" s="66"/>
      <c r="Q71" s="66"/>
      <c r="R71" s="66"/>
      <c r="S71" s="66"/>
      <c r="T71" s="66"/>
      <c r="U71" s="66"/>
      <c r="V71" s="66"/>
      <c r="W71" s="77"/>
    </row>
    <row r="72" spans="1:23" s="21" customFormat="1" ht="42" customHeight="1">
      <c r="A72" s="26"/>
      <c r="B72" s="26"/>
      <c r="C72" s="26"/>
      <c r="D72" s="26"/>
      <c r="E72" s="26"/>
      <c r="F72" s="26"/>
      <c r="G72" s="26"/>
      <c r="H72" s="26"/>
      <c r="I72" s="26"/>
      <c r="J72" s="26"/>
      <c r="K72" s="26"/>
      <c r="L72" s="24"/>
      <c r="M72" s="76"/>
      <c r="N72" s="66"/>
      <c r="O72" s="66"/>
      <c r="P72" s="66"/>
      <c r="Q72" s="66"/>
      <c r="R72" s="66"/>
      <c r="S72" s="66"/>
      <c r="T72" s="66"/>
      <c r="U72" s="66"/>
      <c r="V72" s="66"/>
      <c r="W72" s="77"/>
    </row>
    <row r="73" spans="1:23" s="21" customFormat="1" ht="42" customHeight="1">
      <c r="A73" s="26"/>
      <c r="B73" s="26"/>
      <c r="C73" s="26"/>
      <c r="D73" s="26"/>
      <c r="E73" s="26"/>
      <c r="F73" s="26"/>
      <c r="G73" s="26"/>
      <c r="H73" s="26"/>
      <c r="I73" s="26"/>
      <c r="J73" s="26"/>
      <c r="K73" s="26"/>
      <c r="L73" s="24"/>
      <c r="M73" s="76"/>
      <c r="N73" s="66"/>
      <c r="O73" s="66"/>
      <c r="P73" s="66"/>
      <c r="Q73" s="66"/>
      <c r="R73" s="66"/>
      <c r="S73" s="66"/>
      <c r="T73" s="66"/>
      <c r="U73" s="66"/>
      <c r="V73" s="66"/>
      <c r="W73" s="77"/>
    </row>
    <row r="74" spans="1:23" s="21" customFormat="1" ht="42" customHeight="1">
      <c r="A74" s="26"/>
      <c r="B74" s="26"/>
      <c r="C74" s="26"/>
      <c r="D74" s="26"/>
      <c r="E74" s="26"/>
      <c r="F74" s="26"/>
      <c r="G74" s="26"/>
      <c r="H74" s="26"/>
      <c r="I74" s="26"/>
      <c r="J74" s="26"/>
      <c r="K74" s="26"/>
      <c r="L74" s="24"/>
      <c r="M74" s="76"/>
      <c r="N74" s="66"/>
      <c r="O74" s="66"/>
      <c r="P74" s="66"/>
      <c r="Q74" s="66"/>
      <c r="R74" s="66"/>
      <c r="S74" s="66"/>
      <c r="T74" s="66"/>
      <c r="U74" s="66"/>
      <c r="V74" s="66"/>
      <c r="W74" s="77"/>
    </row>
    <row r="75" spans="1:23" s="21" customFormat="1" ht="42" customHeight="1">
      <c r="A75" s="26"/>
      <c r="B75" s="26"/>
      <c r="C75" s="26"/>
      <c r="D75" s="26"/>
      <c r="E75" s="26"/>
      <c r="F75" s="26"/>
      <c r="G75" s="26"/>
      <c r="H75" s="26"/>
      <c r="I75" s="26"/>
      <c r="J75" s="26"/>
      <c r="K75" s="26"/>
      <c r="L75" s="24"/>
      <c r="M75" s="76"/>
      <c r="N75" s="66"/>
      <c r="O75" s="66"/>
      <c r="P75" s="66"/>
      <c r="Q75" s="66"/>
      <c r="R75" s="66"/>
      <c r="S75" s="66"/>
      <c r="T75" s="66"/>
      <c r="U75" s="66"/>
      <c r="V75" s="66"/>
      <c r="W75" s="77"/>
    </row>
    <row r="76" spans="1:23" s="21" customFormat="1" ht="42" customHeight="1">
      <c r="A76" s="26"/>
      <c r="B76" s="26"/>
      <c r="C76" s="26"/>
      <c r="D76" s="26"/>
      <c r="E76" s="26"/>
      <c r="F76" s="26"/>
      <c r="G76" s="26"/>
      <c r="H76" s="26"/>
      <c r="I76" s="26"/>
      <c r="J76" s="26"/>
      <c r="K76" s="26"/>
      <c r="L76" s="24"/>
      <c r="M76" s="76"/>
      <c r="N76" s="66"/>
      <c r="O76" s="66"/>
      <c r="P76" s="66"/>
      <c r="Q76" s="66"/>
      <c r="R76" s="66"/>
      <c r="S76" s="66"/>
      <c r="T76" s="66"/>
      <c r="U76" s="66"/>
      <c r="V76" s="66"/>
      <c r="W76" s="77"/>
    </row>
    <row r="77" spans="1:23" s="21" customFormat="1" ht="42" customHeight="1">
      <c r="A77" s="26"/>
      <c r="B77" s="26"/>
      <c r="C77" s="26"/>
      <c r="D77" s="26"/>
      <c r="E77" s="26"/>
      <c r="F77" s="26"/>
      <c r="G77" s="26"/>
      <c r="H77" s="26"/>
      <c r="I77" s="26"/>
      <c r="J77" s="26"/>
      <c r="K77" s="26"/>
      <c r="L77" s="24"/>
      <c r="M77" s="76"/>
      <c r="N77" s="66"/>
      <c r="O77" s="66"/>
      <c r="P77" s="66"/>
      <c r="Q77" s="66"/>
      <c r="R77" s="66"/>
      <c r="S77" s="66"/>
      <c r="T77" s="66"/>
      <c r="U77" s="66"/>
      <c r="V77" s="66"/>
      <c r="W77" s="77"/>
    </row>
    <row r="78" spans="1:23" s="21" customFormat="1" ht="42" customHeight="1">
      <c r="A78" s="26"/>
      <c r="B78" s="26"/>
      <c r="C78" s="26"/>
      <c r="D78" s="26"/>
      <c r="E78" s="26"/>
      <c r="F78" s="26"/>
      <c r="G78" s="26"/>
      <c r="H78" s="26"/>
      <c r="I78" s="26"/>
      <c r="J78" s="26"/>
      <c r="K78" s="26"/>
      <c r="L78" s="24"/>
      <c r="M78" s="76"/>
      <c r="N78" s="66"/>
      <c r="O78" s="66"/>
      <c r="P78" s="66"/>
      <c r="Q78" s="66"/>
      <c r="R78" s="66"/>
      <c r="S78" s="66"/>
      <c r="T78" s="66"/>
      <c r="U78" s="66"/>
      <c r="V78" s="66"/>
      <c r="W78" s="77"/>
    </row>
    <row r="79" spans="1:23" s="21" customFormat="1" ht="42" customHeight="1">
      <c r="A79" s="26"/>
      <c r="B79" s="26"/>
      <c r="C79" s="26"/>
      <c r="D79" s="26"/>
      <c r="E79" s="26"/>
      <c r="F79" s="26"/>
      <c r="G79" s="26"/>
      <c r="H79" s="26"/>
      <c r="I79" s="26"/>
      <c r="J79" s="26"/>
      <c r="K79" s="26"/>
      <c r="L79" s="24"/>
      <c r="M79" s="76"/>
      <c r="N79" s="66"/>
      <c r="O79" s="66"/>
      <c r="P79" s="66"/>
      <c r="Q79" s="66"/>
      <c r="R79" s="66"/>
      <c r="S79" s="66"/>
      <c r="T79" s="66"/>
      <c r="U79" s="66"/>
      <c r="V79" s="66"/>
      <c r="W79" s="77"/>
    </row>
    <row r="80" spans="1:23" s="21" customFormat="1" ht="42" customHeight="1">
      <c r="A80" s="26"/>
      <c r="B80" s="26"/>
      <c r="C80" s="26"/>
      <c r="D80" s="26"/>
      <c r="E80" s="26"/>
      <c r="F80" s="26"/>
      <c r="G80" s="26"/>
      <c r="H80" s="26"/>
      <c r="I80" s="26"/>
      <c r="J80" s="26"/>
      <c r="K80" s="26"/>
      <c r="L80" s="24"/>
      <c r="M80" s="76"/>
      <c r="N80" s="66"/>
      <c r="O80" s="66"/>
      <c r="P80" s="66"/>
      <c r="Q80" s="66"/>
      <c r="R80" s="66"/>
      <c r="S80" s="66"/>
      <c r="T80" s="66"/>
      <c r="U80" s="66"/>
      <c r="V80" s="66"/>
      <c r="W80" s="77"/>
    </row>
    <row r="81" spans="1:23" s="21" customFormat="1" ht="42" customHeight="1">
      <c r="A81" s="26"/>
      <c r="B81" s="26"/>
      <c r="C81" s="26"/>
      <c r="D81" s="26"/>
      <c r="E81" s="26"/>
      <c r="F81" s="26"/>
      <c r="G81" s="26"/>
      <c r="H81" s="26"/>
      <c r="I81" s="26"/>
      <c r="J81" s="26"/>
      <c r="K81" s="26"/>
      <c r="L81" s="24"/>
      <c r="M81" s="76"/>
      <c r="N81" s="66"/>
      <c r="O81" s="66"/>
      <c r="P81" s="66"/>
      <c r="Q81" s="66"/>
      <c r="R81" s="66"/>
      <c r="S81" s="66"/>
      <c r="T81" s="66"/>
      <c r="U81" s="66"/>
      <c r="V81" s="66"/>
      <c r="W81" s="77"/>
    </row>
    <row r="82" spans="1:23" s="21" customFormat="1" ht="42" customHeight="1">
      <c r="A82" s="26"/>
      <c r="B82" s="26"/>
      <c r="C82" s="26"/>
      <c r="D82" s="26"/>
      <c r="E82" s="26"/>
      <c r="F82" s="26"/>
      <c r="G82" s="26"/>
      <c r="H82" s="26"/>
      <c r="I82" s="26"/>
      <c r="J82" s="26"/>
      <c r="K82" s="26"/>
      <c r="L82" s="24"/>
      <c r="M82" s="76"/>
      <c r="N82" s="66"/>
      <c r="O82" s="66"/>
      <c r="P82" s="66"/>
      <c r="Q82" s="66"/>
      <c r="R82" s="66"/>
      <c r="S82" s="66"/>
      <c r="T82" s="66"/>
      <c r="U82" s="66"/>
      <c r="V82" s="66"/>
      <c r="W82" s="77"/>
    </row>
    <row r="83" spans="1:23" s="21" customFormat="1" ht="42" customHeight="1">
      <c r="A83" s="26"/>
      <c r="B83" s="26"/>
      <c r="C83" s="26"/>
      <c r="D83" s="26"/>
      <c r="E83" s="26"/>
      <c r="F83" s="26"/>
      <c r="G83" s="26"/>
      <c r="H83" s="26"/>
      <c r="I83" s="26"/>
      <c r="J83" s="26"/>
      <c r="K83" s="26"/>
      <c r="L83" s="24"/>
      <c r="M83" s="76"/>
      <c r="N83" s="66"/>
      <c r="O83" s="66"/>
      <c r="P83" s="66"/>
      <c r="Q83" s="66"/>
      <c r="R83" s="66"/>
      <c r="S83" s="66"/>
      <c r="T83" s="66"/>
      <c r="U83" s="66"/>
      <c r="V83" s="66"/>
      <c r="W83" s="77"/>
    </row>
    <row r="84" spans="1:23" s="21" customFormat="1" ht="42" customHeight="1">
      <c r="A84" s="26"/>
      <c r="B84" s="26"/>
      <c r="C84" s="26"/>
      <c r="D84" s="26"/>
      <c r="E84" s="26"/>
      <c r="F84" s="26"/>
      <c r="G84" s="26"/>
      <c r="H84" s="26"/>
      <c r="I84" s="26"/>
      <c r="J84" s="26"/>
      <c r="K84" s="26"/>
      <c r="L84" s="24"/>
      <c r="M84" s="76"/>
      <c r="N84" s="66"/>
      <c r="O84" s="66"/>
      <c r="P84" s="66"/>
      <c r="Q84" s="66"/>
      <c r="R84" s="66"/>
      <c r="S84" s="66"/>
      <c r="T84" s="66"/>
      <c r="U84" s="66"/>
      <c r="V84" s="66"/>
      <c r="W84" s="77"/>
    </row>
    <row r="85" spans="1:23" s="21" customFormat="1" ht="42" customHeight="1">
      <c r="A85" s="26"/>
      <c r="B85" s="26"/>
      <c r="C85" s="26"/>
      <c r="D85" s="26"/>
      <c r="E85" s="26"/>
      <c r="F85" s="26"/>
      <c r="G85" s="26"/>
      <c r="H85" s="26"/>
      <c r="I85" s="26"/>
      <c r="J85" s="26"/>
      <c r="K85" s="26"/>
      <c r="L85" s="24"/>
      <c r="M85" s="76"/>
      <c r="N85" s="66"/>
      <c r="O85" s="66"/>
      <c r="P85" s="66"/>
      <c r="Q85" s="66"/>
      <c r="R85" s="66"/>
      <c r="S85" s="66"/>
      <c r="T85" s="66"/>
      <c r="U85" s="66"/>
      <c r="V85" s="66"/>
      <c r="W85" s="77"/>
    </row>
    <row r="86" spans="1:23" s="21" customFormat="1" ht="42" customHeight="1">
      <c r="A86" s="26"/>
      <c r="B86" s="26"/>
      <c r="C86" s="26"/>
      <c r="D86" s="26"/>
      <c r="E86" s="26"/>
      <c r="F86" s="26"/>
      <c r="G86" s="26"/>
      <c r="H86" s="26"/>
      <c r="I86" s="26"/>
      <c r="J86" s="26"/>
      <c r="K86" s="26"/>
      <c r="L86" s="24"/>
      <c r="M86" s="76"/>
      <c r="N86" s="66"/>
      <c r="O86" s="66"/>
      <c r="P86" s="66"/>
      <c r="Q86" s="66"/>
      <c r="R86" s="66"/>
      <c r="S86" s="66"/>
      <c r="T86" s="66"/>
      <c r="U86" s="66"/>
      <c r="V86" s="66"/>
      <c r="W86" s="77"/>
    </row>
    <row r="87" spans="1:23" s="21" customFormat="1" ht="42" customHeight="1">
      <c r="A87" s="26"/>
      <c r="B87" s="26"/>
      <c r="C87" s="26"/>
      <c r="D87" s="26"/>
      <c r="E87" s="26"/>
      <c r="F87" s="26"/>
      <c r="G87" s="26"/>
      <c r="H87" s="26"/>
      <c r="I87" s="26"/>
      <c r="J87" s="26"/>
      <c r="K87" s="26"/>
      <c r="L87" s="24"/>
      <c r="M87" s="76"/>
      <c r="N87" s="66"/>
      <c r="O87" s="66"/>
      <c r="P87" s="66"/>
      <c r="Q87" s="66"/>
      <c r="R87" s="66"/>
      <c r="S87" s="66"/>
      <c r="T87" s="66"/>
      <c r="U87" s="66"/>
      <c r="V87" s="66"/>
      <c r="W87" s="77"/>
    </row>
    <row r="88" spans="1:23" s="21" customFormat="1" ht="42" customHeight="1">
      <c r="A88" s="26"/>
      <c r="B88" s="26"/>
      <c r="C88" s="26"/>
      <c r="D88" s="26"/>
      <c r="E88" s="26"/>
      <c r="F88" s="26"/>
      <c r="G88" s="26"/>
      <c r="H88" s="26"/>
      <c r="I88" s="26"/>
      <c r="J88" s="26"/>
      <c r="K88" s="26"/>
      <c r="L88" s="24"/>
      <c r="M88" s="76"/>
      <c r="N88" s="66"/>
      <c r="O88" s="66"/>
      <c r="P88" s="66"/>
      <c r="Q88" s="66"/>
      <c r="R88" s="66"/>
      <c r="S88" s="66"/>
      <c r="T88" s="66"/>
      <c r="U88" s="66"/>
      <c r="V88" s="66"/>
      <c r="W88" s="77"/>
    </row>
    <row r="89" spans="1:23" s="21" customFormat="1" ht="42" customHeight="1">
      <c r="A89" s="26"/>
      <c r="B89" s="26"/>
      <c r="C89" s="26"/>
      <c r="D89" s="26"/>
      <c r="E89" s="26"/>
      <c r="F89" s="26"/>
      <c r="G89" s="26"/>
      <c r="H89" s="26"/>
      <c r="I89" s="26"/>
      <c r="J89" s="26"/>
      <c r="K89" s="26"/>
      <c r="L89" s="24"/>
      <c r="M89" s="76"/>
      <c r="N89" s="66"/>
      <c r="O89" s="66"/>
      <c r="P89" s="66"/>
      <c r="Q89" s="66"/>
      <c r="R89" s="66"/>
      <c r="S89" s="66"/>
      <c r="T89" s="66"/>
      <c r="U89" s="66"/>
      <c r="V89" s="66"/>
      <c r="W89" s="77"/>
    </row>
    <row r="90" spans="1:23" s="21" customFormat="1" ht="42" customHeight="1">
      <c r="A90" s="26"/>
      <c r="B90" s="26"/>
      <c r="C90" s="26"/>
      <c r="D90" s="26"/>
      <c r="E90" s="26"/>
      <c r="F90" s="26"/>
      <c r="G90" s="26"/>
      <c r="H90" s="26"/>
      <c r="I90" s="26"/>
      <c r="J90" s="26"/>
      <c r="K90" s="26"/>
      <c r="L90" s="24"/>
      <c r="M90" s="76"/>
      <c r="N90" s="66"/>
      <c r="O90" s="66"/>
      <c r="P90" s="66"/>
      <c r="Q90" s="66"/>
      <c r="R90" s="66"/>
      <c r="S90" s="66"/>
      <c r="T90" s="66"/>
      <c r="U90" s="66"/>
      <c r="V90" s="66"/>
      <c r="W90" s="77"/>
    </row>
    <row r="91" spans="1:23" s="21" customFormat="1" ht="42" customHeight="1">
      <c r="A91" s="26"/>
      <c r="B91" s="26"/>
      <c r="C91" s="26"/>
      <c r="D91" s="26"/>
      <c r="E91" s="26"/>
      <c r="F91" s="26"/>
      <c r="G91" s="26"/>
      <c r="H91" s="26"/>
      <c r="I91" s="26"/>
      <c r="J91" s="26"/>
      <c r="K91" s="26"/>
      <c r="L91" s="24"/>
      <c r="M91" s="76"/>
      <c r="N91" s="66"/>
      <c r="O91" s="66"/>
      <c r="P91" s="66"/>
      <c r="Q91" s="66"/>
      <c r="R91" s="66"/>
      <c r="S91" s="66"/>
      <c r="T91" s="66"/>
      <c r="U91" s="66"/>
      <c r="V91" s="66"/>
      <c r="W91" s="77"/>
    </row>
    <row r="92" spans="1:23" s="21" customFormat="1" ht="42" customHeight="1">
      <c r="A92" s="26"/>
      <c r="B92" s="26"/>
      <c r="C92" s="26"/>
      <c r="D92" s="26"/>
      <c r="E92" s="26"/>
      <c r="F92" s="26"/>
      <c r="G92" s="26"/>
      <c r="H92" s="26"/>
      <c r="I92" s="26"/>
      <c r="J92" s="26"/>
      <c r="K92" s="26"/>
      <c r="L92" s="24"/>
      <c r="M92" s="76"/>
      <c r="N92" s="66"/>
      <c r="O92" s="66"/>
      <c r="P92" s="66"/>
      <c r="Q92" s="66"/>
      <c r="R92" s="66"/>
      <c r="S92" s="66"/>
      <c r="T92" s="66"/>
      <c r="U92" s="66"/>
      <c r="V92" s="66"/>
      <c r="W92" s="77"/>
    </row>
    <row r="93" spans="1:23" s="21" customFormat="1" ht="42" customHeight="1">
      <c r="A93" s="26"/>
      <c r="B93" s="26"/>
      <c r="C93" s="26"/>
      <c r="D93" s="26"/>
      <c r="E93" s="26"/>
      <c r="F93" s="26"/>
      <c r="G93" s="26"/>
      <c r="H93" s="26"/>
      <c r="I93" s="26"/>
      <c r="J93" s="26"/>
      <c r="K93" s="26"/>
      <c r="L93" s="24"/>
      <c r="M93" s="76"/>
      <c r="N93" s="66"/>
      <c r="O93" s="66"/>
      <c r="P93" s="66"/>
      <c r="Q93" s="66"/>
      <c r="R93" s="66"/>
      <c r="S93" s="66"/>
      <c r="T93" s="66"/>
      <c r="U93" s="66"/>
      <c r="V93" s="66"/>
      <c r="W93" s="77"/>
    </row>
    <row r="94" spans="1:23" s="21" customFormat="1" ht="42" customHeight="1">
      <c r="A94" s="26"/>
      <c r="B94" s="26"/>
      <c r="C94" s="26"/>
      <c r="D94" s="26"/>
      <c r="E94" s="26"/>
      <c r="F94" s="26"/>
      <c r="G94" s="26"/>
      <c r="H94" s="26"/>
      <c r="I94" s="26"/>
      <c r="J94" s="26"/>
      <c r="K94" s="26"/>
      <c r="L94" s="24"/>
      <c r="M94" s="76"/>
      <c r="N94" s="66"/>
      <c r="O94" s="66"/>
      <c r="P94" s="66"/>
      <c r="Q94" s="66"/>
      <c r="R94" s="66"/>
      <c r="S94" s="66"/>
      <c r="T94" s="66"/>
      <c r="U94" s="66"/>
      <c r="V94" s="66"/>
      <c r="W94" s="77"/>
    </row>
    <row r="95" spans="1:23" s="21" customFormat="1" ht="42" customHeight="1">
      <c r="A95" s="26"/>
      <c r="B95" s="26"/>
      <c r="C95" s="26"/>
      <c r="D95" s="26"/>
      <c r="E95" s="26"/>
      <c r="F95" s="26"/>
      <c r="G95" s="26"/>
      <c r="H95" s="26"/>
      <c r="I95" s="26"/>
      <c r="J95" s="26"/>
      <c r="K95" s="26"/>
      <c r="L95" s="24"/>
      <c r="M95" s="76"/>
      <c r="N95" s="66"/>
      <c r="O95" s="66"/>
      <c r="P95" s="66"/>
      <c r="Q95" s="66"/>
      <c r="R95" s="66"/>
      <c r="S95" s="66"/>
      <c r="T95" s="66"/>
      <c r="U95" s="66"/>
      <c r="V95" s="66"/>
      <c r="W95" s="77"/>
    </row>
    <row r="96" spans="1:23" s="21" customFormat="1" ht="42" customHeight="1">
      <c r="A96" s="26"/>
      <c r="B96" s="26"/>
      <c r="C96" s="26"/>
      <c r="D96" s="26"/>
      <c r="E96" s="26"/>
      <c r="F96" s="26"/>
      <c r="G96" s="26"/>
      <c r="H96" s="26"/>
      <c r="I96" s="26"/>
      <c r="J96" s="26"/>
      <c r="K96" s="26"/>
      <c r="L96" s="24"/>
      <c r="M96" s="76"/>
      <c r="N96" s="66"/>
      <c r="O96" s="66"/>
      <c r="P96" s="66"/>
      <c r="Q96" s="66"/>
      <c r="R96" s="66"/>
      <c r="S96" s="66"/>
      <c r="T96" s="66"/>
      <c r="U96" s="66"/>
      <c r="V96" s="66"/>
      <c r="W96" s="77"/>
    </row>
    <row r="97" spans="1:23" s="21" customFormat="1" ht="42" customHeight="1">
      <c r="A97" s="26"/>
      <c r="B97" s="26"/>
      <c r="C97" s="26"/>
      <c r="D97" s="26"/>
      <c r="E97" s="26"/>
      <c r="F97" s="26"/>
      <c r="G97" s="26"/>
      <c r="H97" s="26"/>
      <c r="I97" s="26"/>
      <c r="J97" s="26"/>
      <c r="K97" s="26"/>
      <c r="L97" s="24"/>
      <c r="M97" s="76"/>
      <c r="N97" s="66"/>
      <c r="O97" s="66"/>
      <c r="P97" s="66"/>
      <c r="Q97" s="66"/>
      <c r="R97" s="66"/>
      <c r="S97" s="66"/>
      <c r="T97" s="66"/>
      <c r="U97" s="66"/>
      <c r="V97" s="66"/>
      <c r="W97" s="77"/>
    </row>
    <row r="98" spans="1:23" s="21" customFormat="1" ht="42" customHeight="1">
      <c r="A98" s="26"/>
      <c r="B98" s="26"/>
      <c r="C98" s="26"/>
      <c r="D98" s="26"/>
      <c r="E98" s="26"/>
      <c r="F98" s="26"/>
      <c r="G98" s="26"/>
      <c r="H98" s="26"/>
      <c r="I98" s="26"/>
      <c r="J98" s="26"/>
      <c r="K98" s="26"/>
      <c r="L98" s="24"/>
      <c r="M98" s="76"/>
      <c r="N98" s="66"/>
      <c r="O98" s="66"/>
      <c r="P98" s="66"/>
      <c r="Q98" s="66"/>
      <c r="R98" s="66"/>
      <c r="S98" s="66"/>
      <c r="T98" s="66"/>
      <c r="U98" s="66"/>
      <c r="V98" s="66"/>
      <c r="W98" s="77"/>
    </row>
    <row r="99" spans="1:23" s="21" customFormat="1" ht="42" customHeight="1">
      <c r="A99" s="26"/>
      <c r="B99" s="26"/>
      <c r="C99" s="26"/>
      <c r="D99" s="26"/>
      <c r="E99" s="26"/>
      <c r="F99" s="26"/>
      <c r="G99" s="26"/>
      <c r="H99" s="26"/>
      <c r="I99" s="26"/>
      <c r="J99" s="26"/>
      <c r="K99" s="26"/>
      <c r="L99" s="24"/>
      <c r="M99" s="76"/>
      <c r="N99" s="66"/>
      <c r="O99" s="66"/>
      <c r="P99" s="66"/>
      <c r="Q99" s="66"/>
      <c r="R99" s="66"/>
      <c r="S99" s="66"/>
      <c r="T99" s="66"/>
      <c r="U99" s="66"/>
      <c r="V99" s="66"/>
      <c r="W99" s="77"/>
    </row>
    <row r="100" spans="1:23" s="21" customFormat="1" ht="42" customHeight="1">
      <c r="A100" s="26"/>
      <c r="B100" s="26"/>
      <c r="C100" s="26"/>
      <c r="D100" s="26"/>
      <c r="E100" s="26"/>
      <c r="F100" s="26"/>
      <c r="G100" s="26"/>
      <c r="H100" s="26"/>
      <c r="I100" s="26"/>
      <c r="J100" s="26"/>
      <c r="K100" s="26"/>
      <c r="L100" s="24"/>
      <c r="M100" s="76"/>
      <c r="N100" s="66"/>
      <c r="O100" s="66"/>
      <c r="P100" s="66"/>
      <c r="Q100" s="66"/>
      <c r="R100" s="66"/>
      <c r="S100" s="66"/>
      <c r="T100" s="66"/>
      <c r="U100" s="66"/>
      <c r="V100" s="66"/>
      <c r="W100" s="77"/>
    </row>
    <row r="101" spans="1:23" s="21" customFormat="1" ht="42" customHeight="1">
      <c r="A101" s="26"/>
      <c r="B101" s="26"/>
      <c r="C101" s="26"/>
      <c r="D101" s="26"/>
      <c r="E101" s="26"/>
      <c r="F101" s="26"/>
      <c r="G101" s="26"/>
      <c r="H101" s="26"/>
      <c r="I101" s="26"/>
      <c r="J101" s="26"/>
      <c r="K101" s="26"/>
      <c r="L101" s="24"/>
      <c r="M101" s="76"/>
      <c r="N101" s="66"/>
      <c r="O101" s="66"/>
      <c r="P101" s="66"/>
      <c r="Q101" s="66"/>
      <c r="R101" s="66"/>
      <c r="S101" s="66"/>
      <c r="T101" s="66"/>
      <c r="U101" s="66"/>
      <c r="V101" s="66"/>
      <c r="W101" s="77"/>
    </row>
    <row r="102" spans="1:23" s="21" customFormat="1" ht="42" customHeight="1">
      <c r="A102" s="26"/>
      <c r="B102" s="26"/>
      <c r="C102" s="26"/>
      <c r="D102" s="26"/>
      <c r="E102" s="26"/>
      <c r="F102" s="26"/>
      <c r="G102" s="26"/>
      <c r="H102" s="26"/>
      <c r="I102" s="26"/>
      <c r="J102" s="26"/>
      <c r="K102" s="26"/>
      <c r="L102" s="24"/>
      <c r="M102" s="76"/>
      <c r="N102" s="66"/>
      <c r="O102" s="66"/>
      <c r="P102" s="66"/>
      <c r="Q102" s="66"/>
      <c r="R102" s="66"/>
      <c r="S102" s="66"/>
      <c r="T102" s="66"/>
      <c r="U102" s="66"/>
      <c r="V102" s="66"/>
      <c r="W102" s="77"/>
    </row>
    <row r="103" spans="1:23" s="21" customFormat="1" ht="42" customHeight="1">
      <c r="A103" s="26"/>
      <c r="B103" s="26"/>
      <c r="C103" s="26"/>
      <c r="D103" s="26"/>
      <c r="E103" s="26"/>
      <c r="F103" s="26"/>
      <c r="G103" s="26"/>
      <c r="H103" s="26"/>
      <c r="I103" s="26"/>
      <c r="J103" s="26"/>
      <c r="K103" s="26"/>
      <c r="L103" s="24"/>
      <c r="M103" s="78"/>
      <c r="N103" s="79"/>
      <c r="O103" s="79"/>
      <c r="P103" s="79"/>
      <c r="Q103" s="79"/>
      <c r="R103" s="79"/>
      <c r="S103" s="79"/>
      <c r="T103" s="79"/>
      <c r="U103" s="79"/>
      <c r="V103" s="79"/>
      <c r="W103" s="80"/>
    </row>
    <row r="104" spans="1:23">
      <c r="A104" s="25">
        <v>1</v>
      </c>
      <c r="B104" s="25">
        <v>1</v>
      </c>
      <c r="C104" s="25">
        <v>1</v>
      </c>
      <c r="D104" s="25">
        <v>1</v>
      </c>
      <c r="E104" s="25">
        <v>1</v>
      </c>
      <c r="F104" s="25">
        <v>1</v>
      </c>
      <c r="G104" s="25">
        <v>1</v>
      </c>
      <c r="H104" s="25">
        <v>1</v>
      </c>
      <c r="I104" s="25">
        <v>1</v>
      </c>
      <c r="J104" s="25">
        <v>1</v>
      </c>
      <c r="K104" s="25">
        <v>1</v>
      </c>
      <c r="L104" s="25">
        <v>1</v>
      </c>
      <c r="M104" s="25">
        <v>1</v>
      </c>
      <c r="N104" s="25">
        <v>1</v>
      </c>
    </row>
    <row r="500" spans="27:60">
      <c r="AA500" s="6" t="s">
        <v>111</v>
      </c>
      <c r="AC500" s="3" t="s">
        <v>6</v>
      </c>
      <c r="AD500" s="4" t="s">
        <v>112</v>
      </c>
      <c r="AF500" s="6" t="s">
        <v>8</v>
      </c>
      <c r="AH500" s="3" t="s">
        <v>12</v>
      </c>
      <c r="AJ500" s="6" t="s">
        <v>113</v>
      </c>
      <c r="AL500" s="3" t="s">
        <v>114</v>
      </c>
      <c r="AN500" s="6" t="s">
        <v>14</v>
      </c>
      <c r="AO500" s="6" t="s">
        <v>115</v>
      </c>
      <c r="AQ500" s="3" t="s">
        <v>116</v>
      </c>
      <c r="AR500" s="3" t="s">
        <v>117</v>
      </c>
      <c r="AT500" s="6" t="s">
        <v>118</v>
      </c>
      <c r="AV500" s="3" t="s">
        <v>25</v>
      </c>
      <c r="AW500" s="3" t="str">
        <f>IF(J12="Update", "Valid", "Invalid")</f>
        <v>Valid</v>
      </c>
      <c r="AY500" s="6" t="s">
        <v>119</v>
      </c>
      <c r="AZ500" s="6"/>
      <c r="BA500" s="6"/>
      <c r="BB500" s="6"/>
      <c r="BC500" s="6"/>
      <c r="BD500" s="6"/>
      <c r="BE500" s="30"/>
      <c r="BF500" s="30"/>
      <c r="BG500" s="6" t="s">
        <v>118</v>
      </c>
    </row>
    <row r="501" spans="27:60">
      <c r="AA501" s="7" t="s">
        <v>120</v>
      </c>
      <c r="AC501" s="5" t="s">
        <v>121</v>
      </c>
      <c r="AD501" s="5" t="s">
        <v>121</v>
      </c>
      <c r="AF501" s="7" t="s">
        <v>9</v>
      </c>
      <c r="AH501" s="8" t="s">
        <v>122</v>
      </c>
      <c r="AJ501" s="7" t="s">
        <v>123</v>
      </c>
      <c r="AL501" s="5" t="s">
        <v>20</v>
      </c>
      <c r="AN501" s="7" t="s">
        <v>15</v>
      </c>
      <c r="AO501" s="7"/>
      <c r="AQ501" s="9" t="s">
        <v>124</v>
      </c>
      <c r="AR501" s="9" t="s">
        <v>125</v>
      </c>
      <c r="AT501" s="7" t="s">
        <v>126</v>
      </c>
      <c r="AV501" s="5" t="s">
        <v>127</v>
      </c>
      <c r="AY501" s="7" t="s">
        <v>120</v>
      </c>
      <c r="AZ501" s="7" t="str" cm="1">
        <f t="array" ref="AZ501:AZ505">IF($D$16="", "", _xlfn._xlws.FILTER($AY$501:$AY$506, ISNA(MATCH($AY$501:$AY$506, $D$16, 0)), ""))</f>
        <v>Cloud + AI Infrastructure</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128</v>
      </c>
    </row>
    <row r="502" spans="27:60">
      <c r="AA502" s="7" t="s">
        <v>20</v>
      </c>
      <c r="AC502" s="5" t="s">
        <v>129</v>
      </c>
      <c r="AD502" s="5" t="s">
        <v>129</v>
      </c>
      <c r="AF502" s="7" t="s">
        <v>130</v>
      </c>
      <c r="AH502" s="8" t="s">
        <v>131</v>
      </c>
      <c r="AJ502" s="7" t="s">
        <v>132</v>
      </c>
      <c r="AL502" s="5" t="s">
        <v>133</v>
      </c>
      <c r="AN502" s="7" t="s">
        <v>134</v>
      </c>
      <c r="AO502" s="7" t="s">
        <v>135</v>
      </c>
      <c r="AQ502" s="9" t="s">
        <v>124</v>
      </c>
      <c r="AR502" s="9" t="s">
        <v>136</v>
      </c>
      <c r="AT502" s="7" t="s">
        <v>137</v>
      </c>
      <c r="AV502" s="5" t="s">
        <v>138</v>
      </c>
      <c r="AY502" s="7" t="s">
        <v>20</v>
      </c>
      <c r="AZ502" s="7" t="str">
        <v>Networking</v>
      </c>
      <c r="BA502" s="7"/>
      <c r="BB502" s="7"/>
      <c r="BC502" s="7"/>
      <c r="BD502" s="7"/>
      <c r="BG502" s="7" t="s">
        <v>139</v>
      </c>
      <c r="BH502" s="7"/>
    </row>
    <row r="503" spans="27:60">
      <c r="AA503" s="7" t="s">
        <v>140</v>
      </c>
      <c r="AC503" s="5" t="s">
        <v>141</v>
      </c>
      <c r="AD503" s="5" t="s">
        <v>141</v>
      </c>
      <c r="AF503" s="7" t="s">
        <v>142</v>
      </c>
      <c r="AH503" s="8" t="s">
        <v>13</v>
      </c>
      <c r="AJ503" s="7" t="s">
        <v>143</v>
      </c>
      <c r="AL503" s="5" t="s">
        <v>144</v>
      </c>
      <c r="AN503" s="7" t="s">
        <v>145</v>
      </c>
      <c r="AO503" s="7" t="s">
        <v>146</v>
      </c>
      <c r="AQ503" s="9" t="s">
        <v>124</v>
      </c>
      <c r="AR503" s="9" t="s">
        <v>147</v>
      </c>
      <c r="AT503" s="7" t="s">
        <v>148</v>
      </c>
      <c r="AV503" s="5" t="s">
        <v>149</v>
      </c>
      <c r="AY503" s="7" t="s">
        <v>150</v>
      </c>
      <c r="AZ503" s="7" t="str">
        <v>Mass Scale Infrastructure</v>
      </c>
      <c r="BA503" s="7"/>
      <c r="BB503" s="7"/>
      <c r="BC503" s="7"/>
      <c r="BD503" s="7"/>
      <c r="BG503" s="7" t="s">
        <v>151</v>
      </c>
    </row>
    <row r="504" spans="27:60">
      <c r="AA504" s="7" t="s">
        <v>144</v>
      </c>
      <c r="AC504" s="5" t="s">
        <v>152</v>
      </c>
      <c r="AD504" s="5" t="s">
        <v>152</v>
      </c>
      <c r="AF504" s="7" t="s">
        <v>153</v>
      </c>
      <c r="AJ504" s="7" t="s">
        <v>154</v>
      </c>
      <c r="AL504" s="5" t="s">
        <v>155</v>
      </c>
      <c r="AN504" s="7" t="s">
        <v>156</v>
      </c>
      <c r="AO504" s="7" t="s">
        <v>157</v>
      </c>
      <c r="AQ504" s="9" t="s">
        <v>20</v>
      </c>
      <c r="AR504" s="9" t="s">
        <v>158</v>
      </c>
      <c r="AT504" s="7" t="s">
        <v>159</v>
      </c>
      <c r="AY504" s="7" t="s">
        <v>160</v>
      </c>
      <c r="AZ504" s="7" t="str">
        <v>Security</v>
      </c>
      <c r="BA504" s="7"/>
      <c r="BB504" s="7"/>
      <c r="BC504" s="7"/>
      <c r="BD504" s="7"/>
      <c r="BG504" s="7" t="s">
        <v>161</v>
      </c>
    </row>
    <row r="505" spans="27:60">
      <c r="AA505" s="17" t="s">
        <v>160</v>
      </c>
      <c r="AB505" s="16"/>
      <c r="AC505" s="5" t="s">
        <v>162</v>
      </c>
      <c r="AD505" s="5" t="s">
        <v>162</v>
      </c>
      <c r="AF505" s="17" t="s">
        <v>163</v>
      </c>
      <c r="AG505" s="16"/>
      <c r="AH505" s="16"/>
      <c r="AI505" s="16"/>
      <c r="AJ505" s="17" t="s">
        <v>164</v>
      </c>
      <c r="AK505" s="16"/>
      <c r="AL505" s="18" t="s">
        <v>165</v>
      </c>
      <c r="AM505" s="16"/>
      <c r="AN505" s="17" t="s">
        <v>166</v>
      </c>
      <c r="AO505" s="17" t="s">
        <v>167</v>
      </c>
      <c r="AP505" s="16"/>
      <c r="AQ505" s="19" t="s">
        <v>20</v>
      </c>
      <c r="AR505" s="19" t="s">
        <v>168</v>
      </c>
      <c r="AS505" s="16"/>
      <c r="AT505" s="17" t="s">
        <v>55</v>
      </c>
      <c r="AU505" s="16"/>
      <c r="AV505" s="16"/>
      <c r="AW505" s="16"/>
      <c r="AX505" s="16"/>
      <c r="AY505" s="17" t="s">
        <v>169</v>
      </c>
      <c r="AZ505" s="17" t="str">
        <v>Services</v>
      </c>
      <c r="BA505" s="17"/>
      <c r="BB505" s="17"/>
      <c r="BC505" s="17"/>
      <c r="BD505" s="17"/>
      <c r="BE505" s="16"/>
      <c r="BF505" s="16"/>
      <c r="BG505" s="17" t="s">
        <v>170</v>
      </c>
    </row>
    <row r="506" spans="27:60">
      <c r="AA506" s="17" t="s">
        <v>150</v>
      </c>
      <c r="AB506" s="16"/>
      <c r="AC506" s="18" t="s">
        <v>171</v>
      </c>
      <c r="AD506" s="18" t="s">
        <v>171</v>
      </c>
      <c r="AF506" s="17" t="s">
        <v>172</v>
      </c>
      <c r="AG506" s="16"/>
      <c r="AH506" s="16"/>
      <c r="AI506" s="16"/>
      <c r="AJ506" s="17" t="s">
        <v>173</v>
      </c>
      <c r="AK506" s="16"/>
      <c r="AL506" s="18" t="s">
        <v>174</v>
      </c>
      <c r="AM506" s="16"/>
      <c r="AN506" s="17" t="s">
        <v>175</v>
      </c>
      <c r="AO506" s="17" t="s">
        <v>176</v>
      </c>
      <c r="AP506" s="16"/>
      <c r="AQ506" s="19" t="s">
        <v>20</v>
      </c>
      <c r="AR506" s="19" t="s">
        <v>177</v>
      </c>
      <c r="AS506" s="16"/>
      <c r="AT506" s="17" t="s">
        <v>51</v>
      </c>
      <c r="AU506" s="16"/>
      <c r="AV506" s="16"/>
      <c r="AW506" s="16"/>
      <c r="AX506" s="16"/>
      <c r="AY506" s="17" t="s">
        <v>178</v>
      </c>
      <c r="AZ506" s="17"/>
      <c r="BA506" s="17"/>
      <c r="BB506" s="17"/>
      <c r="BC506" s="17"/>
      <c r="BD506" s="17"/>
      <c r="BE506" s="16"/>
      <c r="BF506" s="16"/>
      <c r="BG506" s="17" t="s">
        <v>179</v>
      </c>
    </row>
    <row r="507" spans="27:60">
      <c r="AA507" s="17" t="s">
        <v>180</v>
      </c>
      <c r="AB507" s="16"/>
      <c r="AC507" s="5" t="s">
        <v>181</v>
      </c>
      <c r="AD507" s="5" t="s">
        <v>181</v>
      </c>
      <c r="AF507" s="17" t="s">
        <v>182</v>
      </c>
      <c r="AG507" s="16"/>
      <c r="AH507" s="16"/>
      <c r="AI507" s="16"/>
      <c r="AJ507" s="17" t="s">
        <v>183</v>
      </c>
      <c r="AK507" s="16"/>
      <c r="AL507" s="18" t="s">
        <v>184</v>
      </c>
      <c r="AM507" s="16"/>
      <c r="AN507" s="17" t="s">
        <v>185</v>
      </c>
      <c r="AO507" s="17" t="s">
        <v>186</v>
      </c>
      <c r="AP507" s="16"/>
      <c r="AQ507" s="19" t="s">
        <v>20</v>
      </c>
      <c r="AR507" s="19" t="s">
        <v>187</v>
      </c>
      <c r="AS507" s="16"/>
      <c r="AT507" s="17" t="s">
        <v>107</v>
      </c>
      <c r="AU507" s="16"/>
      <c r="AV507" s="16"/>
      <c r="AW507" s="16"/>
      <c r="AX507" s="16"/>
      <c r="AY507" s="16"/>
      <c r="AZ507" s="16"/>
      <c r="BA507" s="16"/>
      <c r="BB507" s="16"/>
      <c r="BC507" s="16"/>
      <c r="BD507" s="16"/>
      <c r="BE507" s="16"/>
      <c r="BF507" s="16"/>
      <c r="BG507" s="16"/>
    </row>
    <row r="508" spans="27:60">
      <c r="AA508" s="17" t="s">
        <v>169</v>
      </c>
      <c r="AB508" s="16"/>
      <c r="AC508" s="18" t="s">
        <v>188</v>
      </c>
      <c r="AD508" s="18" t="s">
        <v>188</v>
      </c>
      <c r="AF508" s="17" t="s">
        <v>189</v>
      </c>
      <c r="AG508" s="16"/>
      <c r="AH508" s="16"/>
      <c r="AI508" s="16"/>
      <c r="AJ508" s="17" t="s">
        <v>190</v>
      </c>
      <c r="AK508" s="16"/>
      <c r="AL508" s="18" t="s">
        <v>191</v>
      </c>
      <c r="AM508" s="16"/>
      <c r="AN508" s="17" t="s">
        <v>192</v>
      </c>
      <c r="AO508" s="17" t="s">
        <v>193</v>
      </c>
      <c r="AP508" s="16"/>
      <c r="AQ508" s="19" t="s">
        <v>20</v>
      </c>
      <c r="AR508" s="19" t="s">
        <v>194</v>
      </c>
      <c r="AS508" s="16"/>
      <c r="AT508" s="17"/>
      <c r="AU508" s="16"/>
      <c r="AV508" s="16"/>
      <c r="AW508" s="16"/>
      <c r="AX508" s="16"/>
      <c r="AY508" s="16"/>
      <c r="AZ508" s="16"/>
      <c r="BA508" s="16"/>
      <c r="BB508" s="16"/>
      <c r="BC508" s="16"/>
      <c r="BD508" s="16"/>
      <c r="BE508" s="16"/>
      <c r="BF508" s="16"/>
      <c r="BG508" s="16"/>
    </row>
    <row r="509" spans="27:60">
      <c r="AA509" s="17" t="s">
        <v>178</v>
      </c>
      <c r="AB509" s="16"/>
      <c r="AC509" s="18" t="s">
        <v>195</v>
      </c>
      <c r="AD509" s="18" t="s">
        <v>195</v>
      </c>
      <c r="AF509" s="17" t="s">
        <v>196</v>
      </c>
      <c r="AG509" s="16"/>
      <c r="AH509" s="16"/>
      <c r="AI509" s="16"/>
      <c r="AJ509" s="17" t="s">
        <v>197</v>
      </c>
      <c r="AK509" s="16"/>
      <c r="AL509" s="18" t="s">
        <v>198</v>
      </c>
      <c r="AM509" s="16"/>
      <c r="AN509" s="16"/>
      <c r="AO509" s="16"/>
      <c r="AP509" s="16"/>
      <c r="AQ509" s="19" t="s">
        <v>20</v>
      </c>
      <c r="AR509" s="19" t="s">
        <v>199</v>
      </c>
      <c r="AS509" s="16"/>
      <c r="AT509" s="17"/>
      <c r="AU509" s="16"/>
      <c r="AV509" s="16"/>
      <c r="AW509" s="16"/>
      <c r="AX509" s="16"/>
      <c r="AY509" s="16"/>
      <c r="AZ509" s="16"/>
      <c r="BA509" s="16"/>
      <c r="BB509" s="16"/>
      <c r="BC509" s="16"/>
      <c r="BD509" s="16"/>
      <c r="BE509" s="16"/>
      <c r="BF509" s="16"/>
      <c r="BG509" s="16"/>
    </row>
    <row r="510" spans="27:60">
      <c r="AA510" s="17" t="s">
        <v>200</v>
      </c>
      <c r="AB510" s="16"/>
      <c r="AC510" s="18" t="s">
        <v>201</v>
      </c>
      <c r="AD510" s="18" t="s">
        <v>201</v>
      </c>
      <c r="AF510" s="17" t="s">
        <v>164</v>
      </c>
      <c r="AG510" s="16"/>
      <c r="AH510" s="16"/>
      <c r="AI510" s="16"/>
      <c r="AJ510" s="17" t="s">
        <v>142</v>
      </c>
      <c r="AK510" s="16"/>
      <c r="AL510" s="18" t="s">
        <v>22</v>
      </c>
      <c r="AM510" s="16"/>
      <c r="AN510" s="16"/>
      <c r="AO510" s="16"/>
      <c r="AP510" s="16"/>
      <c r="AQ510" s="19" t="s">
        <v>20</v>
      </c>
      <c r="AR510" s="19" t="s">
        <v>202</v>
      </c>
      <c r="AS510" s="16"/>
      <c r="AT510" s="17"/>
      <c r="AU510" s="16"/>
      <c r="AV510" s="16"/>
      <c r="AW510" s="16"/>
      <c r="AX510" s="16"/>
      <c r="AY510" s="16"/>
      <c r="AZ510" s="16"/>
      <c r="BA510" s="16"/>
      <c r="BB510" s="16"/>
      <c r="BC510" s="16"/>
      <c r="BD510" s="16"/>
      <c r="BE510" s="16"/>
      <c r="BF510" s="16"/>
      <c r="BG510" s="16"/>
    </row>
    <row r="511" spans="27:60">
      <c r="AA511" s="17" t="s">
        <v>203</v>
      </c>
      <c r="AB511" s="16"/>
      <c r="AC511" s="18" t="s">
        <v>204</v>
      </c>
      <c r="AD511" s="18" t="s">
        <v>204</v>
      </c>
      <c r="AF511" s="17" t="s">
        <v>173</v>
      </c>
      <c r="AG511" s="16"/>
      <c r="AH511" s="16"/>
      <c r="AI511" s="16"/>
      <c r="AJ511" s="17" t="s">
        <v>205</v>
      </c>
      <c r="AK511" s="16"/>
      <c r="AL511" s="18" t="s">
        <v>169</v>
      </c>
      <c r="AM511" s="16"/>
      <c r="AN511" s="16"/>
      <c r="AO511" s="16"/>
      <c r="AP511" s="16"/>
      <c r="AQ511" s="19" t="s">
        <v>206</v>
      </c>
      <c r="AR511" s="19" t="s">
        <v>207</v>
      </c>
      <c r="AS511" s="16"/>
      <c r="AT511" s="17"/>
      <c r="AU511" s="16"/>
      <c r="AV511" s="16"/>
      <c r="AW511" s="16"/>
      <c r="AX511" s="16"/>
      <c r="AY511" s="16"/>
      <c r="AZ511" s="21"/>
      <c r="BA511" s="16"/>
      <c r="BB511" s="16"/>
      <c r="BC511" s="16"/>
      <c r="BD511" s="16"/>
      <c r="BE511" s="16"/>
      <c r="BF511" s="16"/>
      <c r="BG511" s="16"/>
    </row>
    <row r="512" spans="27:60">
      <c r="AA512" s="16"/>
      <c r="AB512" s="16"/>
      <c r="AC512" s="18" t="s">
        <v>208</v>
      </c>
      <c r="AD512" s="18" t="s">
        <v>209</v>
      </c>
      <c r="AF512" s="17" t="s">
        <v>183</v>
      </c>
      <c r="AG512" s="16"/>
      <c r="AH512" s="16"/>
      <c r="AI512" s="16"/>
      <c r="AJ512" s="16"/>
      <c r="AK512" s="16"/>
      <c r="AL512" s="18" t="s">
        <v>178</v>
      </c>
      <c r="AM512" s="16"/>
      <c r="AN512" s="16"/>
      <c r="AO512" s="16"/>
      <c r="AP512" s="16"/>
      <c r="AQ512" s="19" t="s">
        <v>206</v>
      </c>
      <c r="AR512" s="19" t="s">
        <v>210</v>
      </c>
      <c r="AS512" s="16"/>
      <c r="AT512" s="17"/>
      <c r="AU512" s="16"/>
      <c r="AV512" s="16"/>
      <c r="AW512" s="16"/>
      <c r="AX512" s="16"/>
      <c r="AY512" s="16"/>
      <c r="AZ512" s="16"/>
      <c r="BA512" s="16"/>
      <c r="BB512" s="16"/>
      <c r="BC512" s="16"/>
      <c r="BD512" s="16"/>
      <c r="BE512" s="16"/>
      <c r="BF512" s="16"/>
      <c r="BG512" s="16"/>
    </row>
    <row r="513" spans="27:59">
      <c r="AA513" s="16"/>
      <c r="AB513" s="16"/>
      <c r="AC513" s="18" t="s">
        <v>211</v>
      </c>
      <c r="AD513" s="18" t="s">
        <v>211</v>
      </c>
      <c r="AF513" s="17" t="s">
        <v>212</v>
      </c>
      <c r="AG513" s="16"/>
      <c r="AH513" s="16"/>
      <c r="AI513" s="16"/>
      <c r="AJ513" s="16"/>
      <c r="AK513" s="16"/>
      <c r="AL513" s="18" t="s">
        <v>213</v>
      </c>
      <c r="AM513" s="16"/>
      <c r="AN513" s="16"/>
      <c r="AO513" s="16"/>
      <c r="AP513" s="16"/>
      <c r="AQ513" s="19" t="s">
        <v>206</v>
      </c>
      <c r="AR513" s="19" t="s">
        <v>214</v>
      </c>
      <c r="AS513" s="16"/>
      <c r="AT513" s="16"/>
      <c r="AU513" s="16"/>
      <c r="AV513" s="16"/>
      <c r="AW513" s="16"/>
      <c r="AX513" s="16"/>
      <c r="AY513" s="16"/>
      <c r="AZ513" s="16"/>
      <c r="BA513" s="16"/>
      <c r="BB513" s="16"/>
      <c r="BC513" s="16"/>
      <c r="BD513" s="16"/>
      <c r="BE513" s="16"/>
      <c r="BF513" s="16"/>
      <c r="BG513" s="16"/>
    </row>
    <row r="514" spans="27:59">
      <c r="AA514" s="53" t="str">
        <f>IFERROR(IF($A$11="TL1",$B$11,VLOOKUP($B$10,$AC$501:$AD$959,2,0)),"")</f>
        <v>Webex Calling</v>
      </c>
      <c r="AB514" s="16"/>
      <c r="AC514" s="18" t="s">
        <v>215</v>
      </c>
      <c r="AD514" s="18" t="s">
        <v>215</v>
      </c>
      <c r="AF514" s="17" t="s">
        <v>216</v>
      </c>
      <c r="AG514" s="16"/>
      <c r="AH514" s="16"/>
      <c r="AI514" s="16"/>
      <c r="AJ514" s="16"/>
      <c r="AK514" s="16"/>
      <c r="AL514" s="18" t="s">
        <v>205</v>
      </c>
      <c r="AM514" s="16"/>
      <c r="AN514" s="16"/>
      <c r="AO514" s="16"/>
      <c r="AP514" s="16"/>
      <c r="AQ514" s="19" t="s">
        <v>206</v>
      </c>
      <c r="AR514" s="19" t="s">
        <v>217</v>
      </c>
      <c r="AS514" s="16"/>
      <c r="AT514" s="16"/>
      <c r="AU514" s="16"/>
      <c r="AV514" s="16"/>
      <c r="AW514" s="16"/>
      <c r="AX514" s="16"/>
      <c r="AY514" s="16"/>
      <c r="AZ514" s="16"/>
      <c r="BA514" s="16"/>
      <c r="BB514" s="16"/>
      <c r="BC514" s="16"/>
      <c r="BD514" s="16"/>
      <c r="BE514" s="16"/>
      <c r="BF514" s="16"/>
      <c r="BG514" s="16"/>
    </row>
    <row r="515" spans="27:59">
      <c r="AA515" s="53" t="str">
        <f>IFERROR(IF($A$11="TL1",$D$11,$D$10),"")</f>
        <v>Deployment</v>
      </c>
      <c r="AB515" s="16"/>
      <c r="AC515" s="18" t="s">
        <v>218</v>
      </c>
      <c r="AD515" s="18" t="s">
        <v>218</v>
      </c>
      <c r="AF515" s="17" t="s">
        <v>219</v>
      </c>
      <c r="AG515" s="16"/>
      <c r="AH515" s="16"/>
      <c r="AI515" s="16"/>
      <c r="AJ515" s="16"/>
      <c r="AK515" s="16"/>
      <c r="AL515" s="16"/>
      <c r="AM515" s="16"/>
      <c r="AN515" s="16"/>
      <c r="AO515" s="16"/>
      <c r="AP515" s="16"/>
      <c r="AQ515" s="19" t="s">
        <v>206</v>
      </c>
      <c r="AR515" s="19" t="s">
        <v>220</v>
      </c>
      <c r="AS515" s="16"/>
      <c r="AT515" s="16"/>
      <c r="AU515" s="16"/>
      <c r="AV515" s="16"/>
      <c r="AW515" s="16"/>
      <c r="AX515" s="16"/>
      <c r="AY515" s="16"/>
      <c r="AZ515" s="16"/>
      <c r="BA515" s="16"/>
      <c r="BB515" s="16"/>
      <c r="BC515" s="16"/>
      <c r="BD515" s="16"/>
      <c r="BE515" s="16"/>
      <c r="BF515" s="16"/>
      <c r="BG515" s="16"/>
    </row>
    <row r="516" spans="27:59">
      <c r="AA516" s="53" t="str">
        <f>IFERROR(IF($A$11="TL1",$F$11,""),"")</f>
        <v/>
      </c>
      <c r="AB516" s="16"/>
      <c r="AC516" s="18" t="s">
        <v>221</v>
      </c>
      <c r="AD516" s="18" t="s">
        <v>221</v>
      </c>
      <c r="AF516" s="17" t="s">
        <v>222</v>
      </c>
      <c r="AG516" s="16"/>
      <c r="AH516" s="16"/>
      <c r="AI516" s="16"/>
      <c r="AJ516" s="16"/>
      <c r="AK516" s="16"/>
      <c r="AL516" s="16"/>
      <c r="AM516" s="16"/>
      <c r="AN516" s="16"/>
      <c r="AO516" s="16"/>
      <c r="AP516" s="16"/>
      <c r="AQ516" s="19" t="s">
        <v>206</v>
      </c>
      <c r="AR516" s="19" t="s">
        <v>223</v>
      </c>
      <c r="AS516" s="16"/>
      <c r="AT516" s="16"/>
      <c r="AU516" s="16"/>
      <c r="AV516" s="16"/>
      <c r="AW516" s="16"/>
      <c r="AX516" s="16"/>
      <c r="AY516" s="16"/>
      <c r="AZ516" s="16"/>
      <c r="BA516" s="16"/>
      <c r="BB516" s="16"/>
      <c r="BC516" s="16"/>
      <c r="BD516" s="16"/>
      <c r="BE516" s="16"/>
      <c r="BF516" s="16"/>
      <c r="BG516" s="16"/>
    </row>
    <row r="517" spans="27:59">
      <c r="AA517" s="16"/>
      <c r="AB517" s="16"/>
      <c r="AC517" s="18" t="s">
        <v>224</v>
      </c>
      <c r="AD517" s="18" t="s">
        <v>224</v>
      </c>
      <c r="AF517" s="17" t="s">
        <v>225</v>
      </c>
      <c r="AG517" s="16"/>
      <c r="AH517" s="16"/>
      <c r="AI517" s="16"/>
      <c r="AJ517" s="16"/>
      <c r="AK517" s="16"/>
      <c r="AL517" s="16"/>
      <c r="AM517" s="16"/>
      <c r="AN517" s="16"/>
      <c r="AO517" s="16"/>
      <c r="AP517" s="16"/>
      <c r="AQ517" s="19" t="s">
        <v>206</v>
      </c>
      <c r="AR517" s="19" t="s">
        <v>226</v>
      </c>
      <c r="AS517" s="16"/>
      <c r="AT517" s="16"/>
      <c r="AU517" s="16"/>
      <c r="AV517" s="16"/>
      <c r="AW517" s="16"/>
      <c r="AX517" s="16"/>
      <c r="AY517" s="16"/>
      <c r="AZ517" s="16"/>
      <c r="BA517" s="16"/>
      <c r="BB517" s="16"/>
      <c r="BC517" s="16"/>
      <c r="BD517" s="16"/>
      <c r="BE517" s="16"/>
      <c r="BF517" s="16"/>
      <c r="BG517" s="16"/>
    </row>
    <row r="518" spans="27:59">
      <c r="AA518" s="52" t="str">
        <f>IF($AA$514=0,"",AA514)</f>
        <v>Webex Calling</v>
      </c>
      <c r="AB518" s="16"/>
      <c r="AC518" s="18" t="s">
        <v>227</v>
      </c>
      <c r="AD518" s="18" t="s">
        <v>227</v>
      </c>
      <c r="AF518" s="17" t="s">
        <v>228</v>
      </c>
      <c r="AG518" s="16"/>
      <c r="AH518" s="16"/>
      <c r="AI518" s="16"/>
      <c r="AJ518" s="16"/>
      <c r="AK518" s="16"/>
      <c r="AL518" s="16"/>
      <c r="AM518" s="16"/>
      <c r="AN518" s="16"/>
      <c r="AO518" s="16"/>
      <c r="AP518" s="16"/>
      <c r="AQ518" s="19" t="s">
        <v>206</v>
      </c>
      <c r="AR518" s="19" t="s">
        <v>229</v>
      </c>
      <c r="AS518" s="16"/>
      <c r="AT518" s="16"/>
      <c r="AU518" s="16"/>
      <c r="AV518" s="16"/>
      <c r="AW518" s="16"/>
      <c r="AX518" s="16"/>
      <c r="AY518" s="16"/>
      <c r="AZ518" s="16"/>
      <c r="BA518" s="16"/>
      <c r="BB518" s="16"/>
      <c r="BC518" s="16"/>
      <c r="BD518" s="16"/>
      <c r="BE518" s="16"/>
      <c r="BF518" s="16"/>
      <c r="BG518" s="16"/>
    </row>
    <row r="519" spans="27:59">
      <c r="AA519" s="52" t="str">
        <f>IF($AA$515=0,"",$AA$515)</f>
        <v>Deployment</v>
      </c>
      <c r="AB519" s="16"/>
      <c r="AC519" s="18" t="s">
        <v>230</v>
      </c>
      <c r="AD519" s="18" t="s">
        <v>230</v>
      </c>
      <c r="AF519" s="17" t="s">
        <v>231</v>
      </c>
      <c r="AG519" s="16"/>
      <c r="AH519" s="16"/>
      <c r="AI519" s="16"/>
      <c r="AJ519" s="16"/>
      <c r="AK519" s="16"/>
      <c r="AL519" s="16"/>
      <c r="AM519" s="16"/>
      <c r="AN519" s="16"/>
      <c r="AO519" s="16"/>
      <c r="AP519" s="16"/>
      <c r="AQ519" s="19" t="s">
        <v>206</v>
      </c>
      <c r="AR519" s="19" t="s">
        <v>232</v>
      </c>
      <c r="AS519" s="16"/>
      <c r="AT519" s="16"/>
      <c r="AU519" s="16"/>
      <c r="AV519" s="16"/>
      <c r="AW519" s="16"/>
      <c r="AX519" s="16"/>
      <c r="AY519" s="16"/>
      <c r="AZ519" s="16"/>
      <c r="BA519" s="16"/>
      <c r="BB519" s="16"/>
      <c r="BC519" s="16"/>
      <c r="BD519" s="16"/>
      <c r="BE519" s="16"/>
      <c r="BF519" s="16"/>
      <c r="BG519" s="16"/>
    </row>
    <row r="520" spans="27:59">
      <c r="AA520" s="52" t="str">
        <f>IF($AA$516=0,"",$AA$516)</f>
        <v/>
      </c>
      <c r="AB520" s="16"/>
      <c r="AC520" s="18" t="s">
        <v>233</v>
      </c>
      <c r="AD520" s="18" t="s">
        <v>233</v>
      </c>
      <c r="AF520" s="16"/>
      <c r="AG520" s="16"/>
      <c r="AH520" s="16"/>
      <c r="AI520" s="16"/>
      <c r="AJ520" s="16"/>
      <c r="AK520" s="16"/>
      <c r="AL520" s="16"/>
      <c r="AM520" s="16"/>
      <c r="AN520" s="16"/>
      <c r="AO520" s="16"/>
      <c r="AP520" s="16"/>
      <c r="AQ520" s="19" t="s">
        <v>206</v>
      </c>
      <c r="AR520" s="19" t="s">
        <v>234</v>
      </c>
      <c r="AS520" s="16"/>
      <c r="AT520" s="16"/>
      <c r="AU520" s="16"/>
      <c r="AV520" s="16"/>
      <c r="AW520" s="16"/>
      <c r="AX520" s="16"/>
      <c r="AY520" s="16"/>
      <c r="AZ520" s="16"/>
      <c r="BA520" s="16"/>
      <c r="BB520" s="16"/>
      <c r="BC520" s="16"/>
      <c r="BD520" s="16"/>
      <c r="BE520" s="16"/>
      <c r="BF520" s="16"/>
      <c r="BG520" s="16"/>
    </row>
    <row r="521" spans="27:59">
      <c r="AA521" s="16"/>
      <c r="AB521" s="16"/>
      <c r="AC521" s="18" t="s">
        <v>235</v>
      </c>
      <c r="AD521" s="18" t="s">
        <v>235</v>
      </c>
      <c r="AF521" s="16"/>
      <c r="AG521" s="16"/>
      <c r="AH521" s="16"/>
      <c r="AI521" s="16"/>
      <c r="AJ521" s="16"/>
      <c r="AK521" s="16"/>
      <c r="AL521" s="16"/>
      <c r="AM521" s="16"/>
      <c r="AN521" s="16"/>
      <c r="AO521" s="16"/>
      <c r="AP521" s="16"/>
      <c r="AQ521" s="19" t="s">
        <v>236</v>
      </c>
      <c r="AR521" s="19" t="s">
        <v>237</v>
      </c>
      <c r="AS521" s="16"/>
      <c r="AT521" s="16"/>
      <c r="AU521" s="16"/>
      <c r="AV521" s="16"/>
      <c r="AW521" s="16"/>
      <c r="AX521" s="16"/>
      <c r="AY521" s="16"/>
      <c r="AZ521" s="16"/>
      <c r="BA521" s="16"/>
      <c r="BB521" s="16"/>
      <c r="BC521" s="16"/>
      <c r="BD521" s="16"/>
      <c r="BE521" s="16"/>
      <c r="BF521" s="16"/>
      <c r="BG521" s="16"/>
    </row>
    <row r="522" spans="27:59">
      <c r="AA522" s="16"/>
      <c r="AB522" s="16"/>
      <c r="AC522" s="18" t="s">
        <v>238</v>
      </c>
      <c r="AD522" s="18" t="s">
        <v>238</v>
      </c>
      <c r="AF522" s="16"/>
      <c r="AG522" s="16"/>
      <c r="AH522" s="16"/>
      <c r="AI522" s="16"/>
      <c r="AJ522" s="16"/>
      <c r="AK522" s="16"/>
      <c r="AL522" s="16"/>
      <c r="AM522" s="16"/>
      <c r="AN522" s="16"/>
      <c r="AO522" s="16"/>
      <c r="AP522" s="16"/>
      <c r="AQ522" s="19" t="s">
        <v>236</v>
      </c>
      <c r="AR522" s="19" t="s">
        <v>239</v>
      </c>
      <c r="AS522" s="16"/>
      <c r="AT522" s="16"/>
      <c r="AU522" s="16"/>
      <c r="AV522" s="16"/>
      <c r="AW522" s="16"/>
      <c r="AX522" s="16"/>
      <c r="AY522" s="16"/>
      <c r="AZ522" s="16"/>
      <c r="BA522" s="16"/>
      <c r="BB522" s="16"/>
      <c r="BC522" s="16"/>
      <c r="BD522" s="16"/>
      <c r="BE522" s="16"/>
      <c r="BF522" s="16"/>
      <c r="BG522" s="16"/>
    </row>
    <row r="523" spans="27:59">
      <c r="AA523" s="16"/>
      <c r="AB523" s="16"/>
      <c r="AC523" s="18" t="s">
        <v>240</v>
      </c>
      <c r="AD523" s="18" t="s">
        <v>240</v>
      </c>
      <c r="AF523" s="16"/>
      <c r="AG523" s="16"/>
      <c r="AH523" s="16"/>
      <c r="AI523" s="16"/>
      <c r="AJ523" s="16"/>
      <c r="AK523" s="16"/>
      <c r="AL523" s="16"/>
      <c r="AM523" s="16"/>
      <c r="AN523" s="16"/>
      <c r="AO523" s="16"/>
      <c r="AP523" s="16"/>
      <c r="AQ523" s="19" t="s">
        <v>236</v>
      </c>
      <c r="AR523" s="19" t="s">
        <v>241</v>
      </c>
      <c r="AS523" s="16"/>
      <c r="AT523" s="16"/>
      <c r="AU523" s="16"/>
      <c r="AV523" s="16"/>
      <c r="AW523" s="16"/>
      <c r="AX523" s="16"/>
      <c r="AY523" s="16"/>
      <c r="AZ523" s="16"/>
      <c r="BA523" s="16"/>
      <c r="BB523" s="16"/>
      <c r="BC523" s="16"/>
      <c r="BD523" s="16"/>
      <c r="BE523" s="16"/>
      <c r="BF523" s="16"/>
      <c r="BG523" s="16"/>
    </row>
    <row r="524" spans="27:59">
      <c r="AA524" s="16"/>
      <c r="AB524" s="16"/>
      <c r="AC524" s="18" t="s">
        <v>242</v>
      </c>
      <c r="AD524" s="18" t="s">
        <v>242</v>
      </c>
      <c r="AF524" s="16"/>
      <c r="AG524" s="16"/>
      <c r="AH524" s="16"/>
      <c r="AI524" s="16"/>
      <c r="AJ524" s="16"/>
      <c r="AK524" s="16"/>
      <c r="AL524" s="16"/>
      <c r="AM524" s="16"/>
      <c r="AN524" s="16"/>
      <c r="AO524" s="16"/>
      <c r="AP524" s="16"/>
      <c r="AQ524" s="19" t="s">
        <v>236</v>
      </c>
      <c r="AR524" s="19" t="s">
        <v>243</v>
      </c>
      <c r="AS524" s="16"/>
      <c r="AT524" s="16"/>
      <c r="AU524" s="16"/>
      <c r="AV524" s="16"/>
      <c r="AW524" s="16"/>
      <c r="AX524" s="16"/>
      <c r="AY524" s="16"/>
      <c r="AZ524" s="16"/>
      <c r="BA524" s="16"/>
      <c r="BB524" s="16"/>
      <c r="BC524" s="16"/>
      <c r="BD524" s="16"/>
      <c r="BE524" s="16"/>
      <c r="BF524" s="16"/>
      <c r="BG524" s="16"/>
    </row>
    <row r="525" spans="27:59">
      <c r="AA525" s="16"/>
      <c r="AB525" s="16"/>
      <c r="AC525" s="18" t="s">
        <v>244</v>
      </c>
      <c r="AD525" s="18" t="s">
        <v>244</v>
      </c>
      <c r="AF525" s="16"/>
      <c r="AG525" s="16"/>
      <c r="AH525" s="16"/>
      <c r="AI525" s="16"/>
      <c r="AJ525" s="16"/>
      <c r="AK525" s="16"/>
      <c r="AL525" s="16"/>
      <c r="AM525" s="16"/>
      <c r="AN525" s="16"/>
      <c r="AO525" s="16"/>
      <c r="AP525" s="16"/>
      <c r="AQ525" s="19" t="s">
        <v>236</v>
      </c>
      <c r="AR525" s="19" t="s">
        <v>245</v>
      </c>
      <c r="AS525" s="16"/>
      <c r="AT525" s="16"/>
      <c r="AU525" s="16"/>
      <c r="AV525" s="16"/>
      <c r="AW525" s="16"/>
      <c r="AX525" s="16"/>
      <c r="AY525" s="16"/>
      <c r="AZ525" s="16"/>
      <c r="BA525" s="16"/>
      <c r="BB525" s="16"/>
      <c r="BC525" s="16"/>
      <c r="BD525" s="16"/>
      <c r="BE525" s="16"/>
      <c r="BF525" s="16"/>
      <c r="BG525" s="16"/>
    </row>
    <row r="526" spans="27:59">
      <c r="AA526" s="16"/>
      <c r="AB526" s="16"/>
      <c r="AC526" s="18" t="s">
        <v>246</v>
      </c>
      <c r="AD526" s="18" t="s">
        <v>246</v>
      </c>
      <c r="AF526" s="16"/>
      <c r="AG526" s="16"/>
      <c r="AH526" s="16"/>
      <c r="AI526" s="16"/>
      <c r="AJ526" s="16"/>
      <c r="AK526" s="16"/>
      <c r="AL526" s="16"/>
      <c r="AM526" s="16"/>
      <c r="AN526" s="16"/>
      <c r="AO526" s="16"/>
      <c r="AP526" s="16"/>
      <c r="AQ526" s="19" t="s">
        <v>247</v>
      </c>
      <c r="AR526" s="19" t="s">
        <v>248</v>
      </c>
      <c r="AS526" s="16"/>
      <c r="AT526" s="16"/>
      <c r="AU526" s="16"/>
      <c r="AV526" s="16"/>
      <c r="AW526" s="16"/>
      <c r="AX526" s="16"/>
      <c r="AY526" s="16"/>
      <c r="AZ526" s="16"/>
      <c r="BA526" s="16"/>
      <c r="BB526" s="16"/>
      <c r="BC526" s="16"/>
      <c r="BD526" s="16"/>
      <c r="BE526" s="16"/>
      <c r="BF526" s="16"/>
      <c r="BG526" s="16"/>
    </row>
    <row r="527" spans="27:59">
      <c r="AA527" s="16"/>
      <c r="AB527" s="16"/>
      <c r="AC527" s="18" t="s">
        <v>249</v>
      </c>
      <c r="AD527" s="18" t="s">
        <v>249</v>
      </c>
      <c r="AF527" s="16"/>
      <c r="AG527" s="16"/>
      <c r="AH527" s="16"/>
      <c r="AI527" s="16"/>
      <c r="AJ527" s="16"/>
      <c r="AK527" s="16"/>
      <c r="AL527" s="16"/>
      <c r="AM527" s="16"/>
      <c r="AN527" s="16"/>
      <c r="AO527" s="16"/>
      <c r="AP527" s="16"/>
      <c r="AQ527" s="19" t="s">
        <v>247</v>
      </c>
      <c r="AR527" s="19" t="s">
        <v>250</v>
      </c>
      <c r="AS527" s="16"/>
      <c r="AT527" s="16"/>
      <c r="AU527" s="16"/>
      <c r="AV527" s="16"/>
      <c r="AW527" s="16"/>
      <c r="AX527" s="16"/>
      <c r="AY527" s="16"/>
      <c r="AZ527" s="16"/>
      <c r="BA527" s="16"/>
      <c r="BB527" s="16"/>
      <c r="BC527" s="16"/>
      <c r="BD527" s="16"/>
      <c r="BE527" s="16"/>
      <c r="BF527" s="16"/>
      <c r="BG527" s="16"/>
    </row>
    <row r="528" spans="27:59">
      <c r="AA528" s="16"/>
      <c r="AB528" s="16"/>
      <c r="AC528" s="18" t="s">
        <v>251</v>
      </c>
      <c r="AD528" s="18" t="s">
        <v>251</v>
      </c>
      <c r="AF528" s="16"/>
      <c r="AG528" s="16"/>
      <c r="AH528" s="16"/>
      <c r="AI528" s="16"/>
      <c r="AJ528" s="16"/>
      <c r="AK528" s="16"/>
      <c r="AL528" s="16"/>
      <c r="AM528" s="16"/>
      <c r="AN528" s="16"/>
      <c r="AO528" s="16"/>
      <c r="AP528" s="16"/>
      <c r="AQ528" s="19" t="s">
        <v>247</v>
      </c>
      <c r="AR528" s="19" t="s">
        <v>252</v>
      </c>
      <c r="AS528" s="16"/>
      <c r="AT528" s="16"/>
      <c r="AU528" s="16"/>
      <c r="AV528" s="16"/>
      <c r="AW528" s="16"/>
      <c r="AX528" s="16"/>
      <c r="AY528" s="16"/>
      <c r="AZ528" s="16"/>
      <c r="BA528" s="16"/>
      <c r="BB528" s="16"/>
      <c r="BC528" s="16"/>
      <c r="BD528" s="16"/>
      <c r="BE528" s="16"/>
      <c r="BF528" s="16"/>
      <c r="BG528" s="16"/>
    </row>
    <row r="529" spans="27:59">
      <c r="AA529" s="16"/>
      <c r="AB529" s="16"/>
      <c r="AC529" s="18" t="s">
        <v>253</v>
      </c>
      <c r="AD529" s="18" t="s">
        <v>253</v>
      </c>
      <c r="AF529" s="16"/>
      <c r="AG529" s="16"/>
      <c r="AH529" s="16"/>
      <c r="AI529" s="16"/>
      <c r="AJ529" s="16"/>
      <c r="AK529" s="16"/>
      <c r="AL529" s="16"/>
      <c r="AM529" s="16"/>
      <c r="AN529" s="16"/>
      <c r="AO529" s="16"/>
      <c r="AP529" s="16"/>
      <c r="AQ529" s="19" t="s">
        <v>247</v>
      </c>
      <c r="AR529" s="19" t="s">
        <v>254</v>
      </c>
      <c r="AS529" s="16"/>
      <c r="AT529" s="16"/>
      <c r="AU529" s="16"/>
      <c r="AV529" s="16"/>
      <c r="AW529" s="16"/>
      <c r="AX529" s="16"/>
      <c r="AY529" s="16"/>
      <c r="AZ529" s="16"/>
      <c r="BA529" s="16"/>
      <c r="BB529" s="16"/>
      <c r="BC529" s="16"/>
      <c r="BD529" s="16"/>
      <c r="BE529" s="16"/>
      <c r="BF529" s="16"/>
      <c r="BG529" s="16"/>
    </row>
    <row r="530" spans="27:59">
      <c r="AA530" s="16" t="s">
        <v>130</v>
      </c>
      <c r="AB530" s="16"/>
      <c r="AC530" s="18" t="s">
        <v>255</v>
      </c>
      <c r="AD530" s="18" t="s">
        <v>255</v>
      </c>
      <c r="AF530" s="16"/>
      <c r="AG530" s="16"/>
      <c r="AH530" s="16"/>
      <c r="AI530" s="16"/>
      <c r="AJ530" s="16"/>
      <c r="AK530" s="16"/>
      <c r="AL530" s="16"/>
      <c r="AM530" s="16"/>
      <c r="AN530" s="16"/>
      <c r="AO530" s="16"/>
      <c r="AP530" s="16"/>
      <c r="AQ530" s="19" t="s">
        <v>247</v>
      </c>
      <c r="AR530" s="19" t="s">
        <v>256</v>
      </c>
      <c r="AS530" s="16"/>
      <c r="AT530" s="16"/>
      <c r="AU530" s="16"/>
      <c r="AV530" s="16"/>
      <c r="AW530" s="16"/>
      <c r="AX530" s="16"/>
      <c r="AY530" s="16"/>
      <c r="AZ530" s="16"/>
      <c r="BA530" s="16"/>
      <c r="BB530" s="16"/>
      <c r="BC530" s="16"/>
      <c r="BD530" s="16"/>
      <c r="BE530" s="16"/>
      <c r="BF530" s="16"/>
      <c r="BG530" s="16"/>
    </row>
    <row r="531" spans="27:59">
      <c r="AA531" s="16" t="s">
        <v>9</v>
      </c>
      <c r="AB531" s="16"/>
      <c r="AC531" s="18" t="s">
        <v>257</v>
      </c>
      <c r="AD531" s="18" t="s">
        <v>257</v>
      </c>
      <c r="AF531" s="16"/>
      <c r="AG531" s="16"/>
      <c r="AH531" s="16"/>
      <c r="AI531" s="16"/>
      <c r="AJ531" s="16"/>
      <c r="AK531" s="16"/>
      <c r="AL531" s="16"/>
      <c r="AM531" s="16"/>
      <c r="AN531" s="16"/>
      <c r="AO531" s="16"/>
      <c r="AP531" s="16"/>
      <c r="AQ531" s="19" t="s">
        <v>247</v>
      </c>
      <c r="AR531" s="19" t="s">
        <v>258</v>
      </c>
      <c r="AS531" s="16"/>
      <c r="AT531" s="16"/>
      <c r="AU531" s="16"/>
      <c r="AV531" s="16"/>
      <c r="AW531" s="16"/>
      <c r="AX531" s="16"/>
      <c r="AY531" s="16"/>
      <c r="AZ531" s="16"/>
      <c r="BA531" s="16"/>
      <c r="BB531" s="16"/>
      <c r="BC531" s="16"/>
      <c r="BD531" s="16"/>
      <c r="BE531" s="16"/>
      <c r="BF531" s="16"/>
      <c r="BG531" s="16"/>
    </row>
    <row r="532" spans="27:59">
      <c r="AA532" s="16" t="s">
        <v>153</v>
      </c>
      <c r="AB532" s="16"/>
      <c r="AC532" s="18" t="s">
        <v>259</v>
      </c>
      <c r="AD532" s="18" t="s">
        <v>259</v>
      </c>
      <c r="AF532" s="16"/>
      <c r="AG532" s="16"/>
      <c r="AH532" s="16"/>
      <c r="AI532" s="16"/>
      <c r="AJ532" s="16"/>
      <c r="AK532" s="16"/>
      <c r="AL532" s="16"/>
      <c r="AM532" s="16"/>
      <c r="AN532" s="16"/>
      <c r="AO532" s="16"/>
      <c r="AP532" s="16"/>
      <c r="AQ532" s="19" t="s">
        <v>155</v>
      </c>
      <c r="AR532" s="19" t="s">
        <v>260</v>
      </c>
      <c r="AS532" s="16"/>
      <c r="AT532" s="16"/>
      <c r="AU532" s="16"/>
      <c r="AV532" s="16"/>
      <c r="AW532" s="16"/>
      <c r="AX532" s="16"/>
      <c r="AY532" s="16"/>
      <c r="AZ532" s="16"/>
      <c r="BA532" s="16"/>
      <c r="BB532" s="16"/>
      <c r="BC532" s="16"/>
      <c r="BD532" s="16"/>
      <c r="BE532" s="16"/>
      <c r="BF532" s="16"/>
      <c r="BG532" s="16"/>
    </row>
    <row r="533" spans="27:59">
      <c r="AA533" s="16" t="s">
        <v>142</v>
      </c>
      <c r="AB533" s="16"/>
      <c r="AC533" s="18" t="s">
        <v>261</v>
      </c>
      <c r="AD533" s="18" t="s">
        <v>261</v>
      </c>
      <c r="AF533" s="16"/>
      <c r="AG533" s="16"/>
      <c r="AH533" s="16"/>
      <c r="AI533" s="16"/>
      <c r="AJ533" s="16"/>
      <c r="AK533" s="16"/>
      <c r="AL533" s="16"/>
      <c r="AM533" s="16"/>
      <c r="AN533" s="16"/>
      <c r="AO533" s="16"/>
      <c r="AP533" s="16"/>
      <c r="AQ533" s="19" t="s">
        <v>155</v>
      </c>
      <c r="AR533" s="19" t="s">
        <v>262</v>
      </c>
      <c r="AS533" s="16"/>
      <c r="AT533" s="16"/>
      <c r="AU533" s="16"/>
      <c r="AV533" s="16"/>
      <c r="AW533" s="16"/>
      <c r="AX533" s="16"/>
      <c r="AY533" s="16"/>
      <c r="AZ533" s="16"/>
      <c r="BA533" s="16"/>
      <c r="BB533" s="16"/>
      <c r="BC533" s="16"/>
      <c r="BD533" s="16"/>
      <c r="BE533" s="16"/>
      <c r="BF533" s="16"/>
      <c r="BG533" s="16"/>
    </row>
    <row r="534" spans="27:59">
      <c r="AA534" s="16" t="s">
        <v>189</v>
      </c>
      <c r="AB534" s="16"/>
      <c r="AC534" s="18" t="s">
        <v>263</v>
      </c>
      <c r="AD534" s="18" t="s">
        <v>263</v>
      </c>
      <c r="AF534" s="16"/>
      <c r="AG534" s="16"/>
      <c r="AH534" s="16"/>
      <c r="AI534" s="16"/>
      <c r="AJ534" s="16"/>
      <c r="AK534" s="16"/>
      <c r="AL534" s="16"/>
      <c r="AM534" s="16"/>
      <c r="AN534" s="16"/>
      <c r="AO534" s="16"/>
      <c r="AP534" s="16"/>
      <c r="AQ534" s="19" t="s">
        <v>155</v>
      </c>
      <c r="AR534" s="19" t="s">
        <v>264</v>
      </c>
      <c r="AS534" s="16"/>
      <c r="AT534" s="16"/>
      <c r="AU534" s="16"/>
      <c r="AV534" s="16"/>
      <c r="AW534" s="16"/>
      <c r="AX534" s="16"/>
      <c r="AY534" s="16"/>
      <c r="AZ534" s="16"/>
      <c r="BA534" s="16"/>
      <c r="BB534" s="16"/>
      <c r="BC534" s="16"/>
      <c r="BD534" s="16"/>
      <c r="BE534" s="16"/>
      <c r="BF534" s="16"/>
      <c r="BG534" s="16"/>
    </row>
    <row r="535" spans="27:59">
      <c r="AA535" s="16" t="s">
        <v>183</v>
      </c>
      <c r="AB535" s="16"/>
      <c r="AC535" s="18" t="s">
        <v>265</v>
      </c>
      <c r="AD535" s="18" t="s">
        <v>265</v>
      </c>
      <c r="AF535" s="16"/>
      <c r="AG535" s="16"/>
      <c r="AH535" s="16"/>
      <c r="AI535" s="16"/>
      <c r="AJ535" s="16"/>
      <c r="AK535" s="16"/>
      <c r="AL535" s="16"/>
      <c r="AM535" s="16"/>
      <c r="AN535" s="16"/>
      <c r="AO535" s="16"/>
      <c r="AP535" s="16"/>
      <c r="AQ535" s="19" t="s">
        <v>155</v>
      </c>
      <c r="AR535" s="19" t="s">
        <v>266</v>
      </c>
      <c r="AS535" s="16"/>
      <c r="AT535" s="16"/>
      <c r="AU535" s="16"/>
      <c r="AV535" s="16"/>
      <c r="AW535" s="16"/>
      <c r="AX535" s="16"/>
      <c r="AY535" s="16"/>
      <c r="AZ535" s="16"/>
      <c r="BA535" s="16"/>
      <c r="BB535" s="16"/>
      <c r="BC535" s="16"/>
      <c r="BD535" s="16"/>
      <c r="BE535" s="16"/>
      <c r="BF535" s="16"/>
      <c r="BG535" s="16"/>
    </row>
    <row r="536" spans="27:59">
      <c r="AA536" s="16" t="s">
        <v>164</v>
      </c>
      <c r="AB536" s="16"/>
      <c r="AC536" s="18" t="s">
        <v>267</v>
      </c>
      <c r="AD536" s="18" t="s">
        <v>267</v>
      </c>
      <c r="AF536" s="16"/>
      <c r="AG536" s="16"/>
      <c r="AH536" s="16"/>
      <c r="AI536" s="16"/>
      <c r="AJ536" s="16"/>
      <c r="AK536" s="16"/>
      <c r="AL536" s="16"/>
      <c r="AM536" s="16"/>
      <c r="AN536" s="16"/>
      <c r="AO536" s="16"/>
      <c r="AP536" s="16"/>
      <c r="AQ536" s="19" t="s">
        <v>155</v>
      </c>
      <c r="AR536" s="19" t="s">
        <v>268</v>
      </c>
      <c r="AS536" s="16"/>
      <c r="AT536" s="16"/>
      <c r="AU536" s="16"/>
      <c r="AV536" s="16"/>
      <c r="AW536" s="16"/>
      <c r="AX536" s="16"/>
      <c r="AY536" s="16"/>
      <c r="AZ536" s="16"/>
      <c r="BA536" s="16"/>
      <c r="BB536" s="16"/>
      <c r="BC536" s="16"/>
      <c r="BD536" s="16"/>
      <c r="BE536" s="16"/>
      <c r="BF536" s="16"/>
      <c r="BG536" s="16"/>
    </row>
    <row r="537" spans="27:59">
      <c r="AA537" s="16"/>
      <c r="AB537" s="16"/>
      <c r="AC537" s="18" t="s">
        <v>269</v>
      </c>
      <c r="AD537" s="18" t="s">
        <v>269</v>
      </c>
      <c r="AF537" s="16"/>
      <c r="AG537" s="16"/>
      <c r="AH537" s="16"/>
      <c r="AI537" s="16"/>
      <c r="AJ537" s="16"/>
      <c r="AK537" s="16"/>
      <c r="AL537" s="16"/>
      <c r="AM537" s="16"/>
      <c r="AN537" s="16"/>
      <c r="AO537" s="16"/>
      <c r="AP537" s="16"/>
      <c r="AQ537" s="19" t="s">
        <v>155</v>
      </c>
      <c r="AR537" s="19" t="s">
        <v>270</v>
      </c>
      <c r="AS537" s="16"/>
      <c r="AT537" s="16"/>
      <c r="AU537" s="16"/>
      <c r="AV537" s="16"/>
      <c r="AW537" s="16"/>
      <c r="AX537" s="16"/>
      <c r="AY537" s="16"/>
      <c r="AZ537" s="16"/>
      <c r="BA537" s="16"/>
      <c r="BB537" s="16"/>
      <c r="BC537" s="16"/>
      <c r="BD537" s="16"/>
      <c r="BE537" s="16"/>
      <c r="BF537" s="16"/>
      <c r="BG537" s="16"/>
    </row>
    <row r="538" spans="27:59">
      <c r="AA538" s="16"/>
      <c r="AB538" s="16"/>
      <c r="AC538" s="18" t="s">
        <v>271</v>
      </c>
      <c r="AD538" s="18" t="s">
        <v>271</v>
      </c>
      <c r="AF538" s="16"/>
      <c r="AG538" s="16"/>
      <c r="AH538" s="16"/>
      <c r="AI538" s="16"/>
      <c r="AJ538" s="16"/>
      <c r="AK538" s="16"/>
      <c r="AL538" s="16"/>
      <c r="AM538" s="16"/>
      <c r="AN538" s="16"/>
      <c r="AO538" s="16"/>
      <c r="AP538" s="16"/>
      <c r="AQ538" s="19" t="s">
        <v>155</v>
      </c>
      <c r="AR538" s="19" t="s">
        <v>272</v>
      </c>
      <c r="AS538" s="16"/>
      <c r="AT538" s="16"/>
      <c r="AU538" s="16"/>
      <c r="AV538" s="16"/>
      <c r="AW538" s="16"/>
      <c r="AX538" s="16"/>
      <c r="AY538" s="16"/>
      <c r="AZ538" s="16"/>
      <c r="BA538" s="16"/>
      <c r="BB538" s="16"/>
      <c r="BC538" s="16"/>
      <c r="BD538" s="16"/>
      <c r="BE538" s="16"/>
      <c r="BF538" s="16"/>
      <c r="BG538" s="16"/>
    </row>
    <row r="539" spans="27:59">
      <c r="AA539" s="16"/>
      <c r="AB539" s="16"/>
      <c r="AC539" s="18" t="s">
        <v>273</v>
      </c>
      <c r="AD539" s="18" t="s">
        <v>273</v>
      </c>
      <c r="AF539" s="16"/>
      <c r="AG539" s="16"/>
      <c r="AH539" s="16"/>
      <c r="AI539" s="16"/>
      <c r="AJ539" s="16"/>
      <c r="AK539" s="16"/>
      <c r="AL539" s="16"/>
      <c r="AM539" s="16"/>
      <c r="AN539" s="16"/>
      <c r="AO539" s="16"/>
      <c r="AP539" s="16"/>
      <c r="AQ539" s="19" t="s">
        <v>155</v>
      </c>
      <c r="AR539" s="19" t="s">
        <v>274</v>
      </c>
      <c r="AS539" s="16"/>
      <c r="AT539" s="16"/>
      <c r="AU539" s="16"/>
      <c r="AV539" s="16"/>
      <c r="AW539" s="16"/>
      <c r="AX539" s="16"/>
      <c r="AY539" s="16"/>
      <c r="AZ539" s="16"/>
      <c r="BA539" s="16"/>
      <c r="BB539" s="16"/>
      <c r="BC539" s="16"/>
      <c r="BD539" s="16"/>
      <c r="BE539" s="16"/>
      <c r="BF539" s="16"/>
      <c r="BG539" s="16"/>
    </row>
    <row r="540" spans="27:59">
      <c r="AA540" s="16"/>
      <c r="AB540" s="16"/>
      <c r="AC540" s="18" t="s">
        <v>275</v>
      </c>
      <c r="AD540" s="18" t="s">
        <v>275</v>
      </c>
      <c r="AF540" s="16"/>
      <c r="AG540" s="16"/>
      <c r="AH540" s="16"/>
      <c r="AI540" s="16"/>
      <c r="AJ540" s="16"/>
      <c r="AK540" s="16"/>
      <c r="AL540" s="16"/>
      <c r="AM540" s="16"/>
      <c r="AN540" s="16"/>
      <c r="AO540" s="16"/>
      <c r="AP540" s="16"/>
      <c r="AQ540" s="19" t="s">
        <v>155</v>
      </c>
      <c r="AR540" s="19" t="s">
        <v>276</v>
      </c>
      <c r="AS540" s="16"/>
      <c r="AT540" s="16"/>
      <c r="AU540" s="16"/>
      <c r="AV540" s="16"/>
      <c r="AW540" s="16"/>
      <c r="AX540" s="16"/>
      <c r="AY540" s="16"/>
      <c r="AZ540" s="16"/>
      <c r="BA540" s="16"/>
      <c r="BB540" s="16"/>
      <c r="BC540" s="16"/>
      <c r="BD540" s="16"/>
      <c r="BE540" s="16"/>
      <c r="BF540" s="16"/>
      <c r="BG540" s="16"/>
    </row>
    <row r="541" spans="27:59">
      <c r="AA541" s="16"/>
      <c r="AB541" s="16"/>
      <c r="AC541" s="18" t="s">
        <v>277</v>
      </c>
      <c r="AD541" s="18" t="s">
        <v>277</v>
      </c>
      <c r="AF541" s="16"/>
      <c r="AG541" s="16"/>
      <c r="AH541" s="16"/>
      <c r="AI541" s="16"/>
      <c r="AJ541" s="16"/>
      <c r="AK541" s="16"/>
      <c r="AL541" s="16"/>
      <c r="AM541" s="16"/>
      <c r="AN541" s="16"/>
      <c r="AO541" s="16"/>
      <c r="AP541" s="16"/>
      <c r="AQ541" s="19" t="s">
        <v>155</v>
      </c>
      <c r="AR541" s="19" t="s">
        <v>278</v>
      </c>
      <c r="AS541" s="16"/>
      <c r="AT541" s="16"/>
      <c r="AU541" s="16"/>
      <c r="AV541" s="16"/>
      <c r="AW541" s="16"/>
      <c r="AX541" s="16"/>
      <c r="AY541" s="16"/>
      <c r="AZ541" s="16"/>
      <c r="BA541" s="16"/>
      <c r="BB541" s="16"/>
      <c r="BC541" s="16"/>
      <c r="BD541" s="16"/>
      <c r="BE541" s="16"/>
      <c r="BF541" s="16"/>
      <c r="BG541" s="16"/>
    </row>
    <row r="542" spans="27:59">
      <c r="AA542" s="16"/>
      <c r="AB542" s="16"/>
      <c r="AC542" s="18" t="s">
        <v>279</v>
      </c>
      <c r="AD542" s="18" t="s">
        <v>279</v>
      </c>
      <c r="AF542" s="16"/>
      <c r="AG542" s="16"/>
      <c r="AH542" s="16"/>
      <c r="AI542" s="16"/>
      <c r="AJ542" s="16"/>
      <c r="AK542" s="16"/>
      <c r="AL542" s="16"/>
      <c r="AM542" s="16"/>
      <c r="AN542" s="16"/>
      <c r="AO542" s="16"/>
      <c r="AP542" s="16"/>
      <c r="AQ542" s="19" t="s">
        <v>155</v>
      </c>
      <c r="AR542" s="19" t="s">
        <v>280</v>
      </c>
      <c r="AS542" s="16"/>
      <c r="AT542" s="16"/>
      <c r="AU542" s="16"/>
      <c r="AV542" s="16"/>
      <c r="AW542" s="16"/>
      <c r="AX542" s="16"/>
      <c r="AY542" s="16"/>
      <c r="AZ542" s="16"/>
      <c r="BA542" s="16"/>
      <c r="BB542" s="16"/>
      <c r="BC542" s="16"/>
      <c r="BD542" s="16"/>
      <c r="BE542" s="16"/>
      <c r="BF542" s="16"/>
      <c r="BG542" s="16"/>
    </row>
    <row r="543" spans="27:59">
      <c r="AA543" s="16"/>
      <c r="AB543" s="16"/>
      <c r="AC543" s="18" t="s">
        <v>281</v>
      </c>
      <c r="AD543" s="18" t="s">
        <v>281</v>
      </c>
      <c r="AF543" s="16"/>
      <c r="AG543" s="16"/>
      <c r="AH543" s="16"/>
      <c r="AI543" s="16"/>
      <c r="AJ543" s="16"/>
      <c r="AK543" s="16"/>
      <c r="AL543" s="16"/>
      <c r="AM543" s="16"/>
      <c r="AN543" s="16"/>
      <c r="AO543" s="16"/>
      <c r="AP543" s="16"/>
      <c r="AQ543" s="19" t="s">
        <v>155</v>
      </c>
      <c r="AR543" s="19" t="s">
        <v>282</v>
      </c>
      <c r="AS543" s="16"/>
      <c r="AT543" s="16"/>
      <c r="AU543" s="16"/>
      <c r="AV543" s="16"/>
      <c r="AW543" s="16"/>
      <c r="AX543" s="16"/>
      <c r="AY543" s="16"/>
      <c r="AZ543" s="16"/>
      <c r="BA543" s="16"/>
      <c r="BB543" s="16"/>
      <c r="BC543" s="16"/>
      <c r="BD543" s="16"/>
      <c r="BE543" s="16"/>
      <c r="BF543" s="16"/>
      <c r="BG543" s="16"/>
    </row>
    <row r="544" spans="27:59">
      <c r="AA544" s="16"/>
      <c r="AB544" s="16"/>
      <c r="AC544" s="18" t="s">
        <v>283</v>
      </c>
      <c r="AD544" s="18" t="s">
        <v>283</v>
      </c>
      <c r="AF544" s="16"/>
      <c r="AG544" s="16"/>
      <c r="AH544" s="16"/>
      <c r="AI544" s="16"/>
      <c r="AJ544" s="16"/>
      <c r="AK544" s="16"/>
      <c r="AL544" s="16"/>
      <c r="AM544" s="16"/>
      <c r="AN544" s="16"/>
      <c r="AO544" s="16"/>
      <c r="AP544" s="16"/>
      <c r="AQ544" s="19" t="s">
        <v>155</v>
      </c>
      <c r="AR544" s="19" t="s">
        <v>284</v>
      </c>
      <c r="AS544" s="16"/>
      <c r="AT544" s="16"/>
      <c r="AU544" s="16"/>
      <c r="AV544" s="16"/>
      <c r="AW544" s="16"/>
      <c r="AX544" s="16"/>
      <c r="AY544" s="16"/>
      <c r="AZ544" s="16"/>
      <c r="BA544" s="16"/>
      <c r="BB544" s="16"/>
      <c r="BC544" s="16"/>
      <c r="BD544" s="16"/>
      <c r="BE544" s="16"/>
      <c r="BF544" s="16"/>
      <c r="BG544" s="16"/>
    </row>
    <row r="545" spans="27:59">
      <c r="AA545" s="16"/>
      <c r="AB545" s="16"/>
      <c r="AC545" s="18" t="s">
        <v>285</v>
      </c>
      <c r="AD545" s="18" t="s">
        <v>285</v>
      </c>
      <c r="AF545" s="16"/>
      <c r="AG545" s="16"/>
      <c r="AH545" s="16"/>
      <c r="AI545" s="16"/>
      <c r="AJ545" s="16"/>
      <c r="AK545" s="16"/>
      <c r="AL545" s="16"/>
      <c r="AM545" s="16"/>
      <c r="AN545" s="16"/>
      <c r="AO545" s="16"/>
      <c r="AP545" s="16"/>
      <c r="AQ545" s="19" t="s">
        <v>155</v>
      </c>
      <c r="AR545" s="19" t="s">
        <v>286</v>
      </c>
      <c r="AS545" s="16"/>
      <c r="AT545" s="16"/>
      <c r="AU545" s="16"/>
      <c r="AV545" s="16"/>
      <c r="AW545" s="16"/>
      <c r="AX545" s="16"/>
      <c r="AY545" s="16"/>
      <c r="AZ545" s="16"/>
      <c r="BA545" s="16"/>
      <c r="BB545" s="16"/>
      <c r="BC545" s="16"/>
      <c r="BD545" s="16"/>
      <c r="BE545" s="16"/>
      <c r="BF545" s="16"/>
      <c r="BG545" s="16"/>
    </row>
    <row r="546" spans="27:59">
      <c r="AA546" s="16"/>
      <c r="AB546" s="16"/>
      <c r="AC546" s="18" t="s">
        <v>287</v>
      </c>
      <c r="AD546" s="18" t="s">
        <v>287</v>
      </c>
      <c r="AF546" s="16"/>
      <c r="AG546" s="16"/>
      <c r="AH546" s="16"/>
      <c r="AI546" s="16"/>
      <c r="AJ546" s="16"/>
      <c r="AK546" s="16"/>
      <c r="AL546" s="16"/>
      <c r="AM546" s="16"/>
      <c r="AN546" s="16"/>
      <c r="AO546" s="16"/>
      <c r="AP546" s="16"/>
      <c r="AQ546" s="19" t="s">
        <v>191</v>
      </c>
      <c r="AR546" s="19" t="s">
        <v>288</v>
      </c>
      <c r="AS546" s="16"/>
      <c r="AT546" s="16"/>
      <c r="AU546" s="16"/>
      <c r="AV546" s="16"/>
      <c r="AW546" s="16"/>
      <c r="AX546" s="16"/>
      <c r="AY546" s="16"/>
      <c r="AZ546" s="16"/>
      <c r="BA546" s="16"/>
      <c r="BB546" s="16"/>
      <c r="BC546" s="16"/>
      <c r="BD546" s="16"/>
      <c r="BE546" s="16"/>
      <c r="BF546" s="16"/>
      <c r="BG546" s="16"/>
    </row>
    <row r="547" spans="27:59">
      <c r="AA547" s="16"/>
      <c r="AB547" s="16"/>
      <c r="AC547" s="18" t="s">
        <v>289</v>
      </c>
      <c r="AD547" s="18" t="s">
        <v>289</v>
      </c>
      <c r="AF547" s="16"/>
      <c r="AG547" s="16"/>
      <c r="AH547" s="16"/>
      <c r="AI547" s="16"/>
      <c r="AJ547" s="16"/>
      <c r="AK547" s="16"/>
      <c r="AL547" s="16"/>
      <c r="AM547" s="16"/>
      <c r="AN547" s="16"/>
      <c r="AO547" s="16"/>
      <c r="AP547" s="16"/>
      <c r="AQ547" s="19" t="s">
        <v>22</v>
      </c>
      <c r="AR547" s="19" t="s">
        <v>290</v>
      </c>
      <c r="AS547" s="16"/>
      <c r="AT547" s="16"/>
      <c r="AU547" s="16"/>
      <c r="AV547" s="16"/>
      <c r="AW547" s="16"/>
      <c r="AX547" s="16"/>
      <c r="AY547" s="16"/>
      <c r="AZ547" s="16"/>
      <c r="BA547" s="16"/>
      <c r="BB547" s="16"/>
      <c r="BC547" s="16"/>
      <c r="BD547" s="16"/>
      <c r="BE547" s="16"/>
      <c r="BF547" s="16"/>
      <c r="BG547" s="16"/>
    </row>
    <row r="548" spans="27:59">
      <c r="AA548" s="16"/>
      <c r="AB548" s="16"/>
      <c r="AC548" s="18" t="s">
        <v>291</v>
      </c>
      <c r="AD548" s="18" t="s">
        <v>291</v>
      </c>
      <c r="AF548" s="16"/>
      <c r="AG548" s="16"/>
      <c r="AH548" s="16"/>
      <c r="AI548" s="16"/>
      <c r="AJ548" s="16"/>
      <c r="AK548" s="16"/>
      <c r="AL548" s="16"/>
      <c r="AM548" s="16"/>
      <c r="AN548" s="16"/>
      <c r="AO548" s="16"/>
      <c r="AP548" s="16"/>
      <c r="AQ548" s="19" t="s">
        <v>22</v>
      </c>
      <c r="AR548" s="19" t="s">
        <v>292</v>
      </c>
      <c r="AS548" s="16"/>
      <c r="AT548" s="16"/>
      <c r="AU548" s="16"/>
      <c r="AV548" s="16"/>
      <c r="AW548" s="16"/>
      <c r="AX548" s="16"/>
      <c r="AY548" s="16"/>
      <c r="AZ548" s="16"/>
      <c r="BA548" s="16"/>
      <c r="BB548" s="16"/>
      <c r="BC548" s="16"/>
      <c r="BD548" s="16"/>
      <c r="BE548" s="16"/>
      <c r="BF548" s="16"/>
      <c r="BG548" s="16"/>
    </row>
    <row r="549" spans="27:59">
      <c r="AA549" s="16"/>
      <c r="AB549" s="16"/>
      <c r="AC549" s="18" t="s">
        <v>293</v>
      </c>
      <c r="AD549" s="18" t="s">
        <v>293</v>
      </c>
      <c r="AF549" s="16"/>
      <c r="AG549" s="16"/>
      <c r="AH549" s="16"/>
      <c r="AI549" s="16"/>
      <c r="AJ549" s="16"/>
      <c r="AK549" s="16"/>
      <c r="AL549" s="16"/>
      <c r="AM549" s="16"/>
      <c r="AN549" s="16"/>
      <c r="AO549" s="16"/>
      <c r="AP549" s="16"/>
      <c r="AQ549" s="19" t="s">
        <v>22</v>
      </c>
      <c r="AR549" s="19" t="s">
        <v>294</v>
      </c>
      <c r="AS549" s="16"/>
      <c r="AT549" s="16"/>
      <c r="AU549" s="16"/>
      <c r="AV549" s="16"/>
      <c r="AW549" s="16"/>
      <c r="AX549" s="16"/>
      <c r="AY549" s="16"/>
      <c r="AZ549" s="16"/>
      <c r="BA549" s="16"/>
      <c r="BB549" s="16"/>
      <c r="BC549" s="16"/>
      <c r="BD549" s="16"/>
      <c r="BE549" s="16"/>
      <c r="BF549" s="16"/>
      <c r="BG549" s="16"/>
    </row>
    <row r="550" spans="27:59">
      <c r="AA550" s="16"/>
      <c r="AB550" s="16"/>
      <c r="AC550" s="18" t="s">
        <v>295</v>
      </c>
      <c r="AD550" s="18" t="s">
        <v>295</v>
      </c>
      <c r="AF550" s="16"/>
      <c r="AG550" s="16"/>
      <c r="AH550" s="16"/>
      <c r="AI550" s="16"/>
      <c r="AJ550" s="16"/>
      <c r="AK550" s="16"/>
      <c r="AL550" s="16"/>
      <c r="AM550" s="16"/>
      <c r="AN550" s="16"/>
      <c r="AO550" s="16"/>
      <c r="AP550" s="16"/>
      <c r="AQ550" s="19" t="s">
        <v>22</v>
      </c>
      <c r="AR550" s="19" t="s">
        <v>296</v>
      </c>
      <c r="AS550" s="16"/>
      <c r="AT550" s="16"/>
      <c r="AU550" s="16"/>
      <c r="AV550" s="16"/>
      <c r="AW550" s="16"/>
      <c r="AX550" s="16"/>
      <c r="AY550" s="16"/>
      <c r="AZ550" s="16"/>
      <c r="BA550" s="16"/>
      <c r="BB550" s="16"/>
      <c r="BC550" s="16"/>
      <c r="BD550" s="16"/>
      <c r="BE550" s="16"/>
      <c r="BF550" s="16"/>
      <c r="BG550" s="16"/>
    </row>
    <row r="551" spans="27:59">
      <c r="AA551" s="16"/>
      <c r="AB551" s="16"/>
      <c r="AC551" s="18" t="s">
        <v>297</v>
      </c>
      <c r="AD551" s="18" t="s">
        <v>297</v>
      </c>
      <c r="AF551" s="16"/>
      <c r="AG551" s="16"/>
      <c r="AH551" s="16"/>
      <c r="AI551" s="16"/>
      <c r="AJ551" s="16"/>
      <c r="AK551" s="16"/>
      <c r="AL551" s="16"/>
      <c r="AM551" s="16"/>
      <c r="AN551" s="16"/>
      <c r="AO551" s="16"/>
      <c r="AP551" s="16"/>
      <c r="AQ551" s="19" t="s">
        <v>22</v>
      </c>
      <c r="AR551" s="19" t="s">
        <v>298</v>
      </c>
      <c r="AS551" s="16"/>
      <c r="AT551" s="16"/>
      <c r="AU551" s="16"/>
      <c r="AV551" s="16"/>
      <c r="AW551" s="16"/>
      <c r="AX551" s="16"/>
      <c r="AY551" s="16"/>
      <c r="AZ551" s="16"/>
      <c r="BA551" s="16"/>
      <c r="BB551" s="16"/>
      <c r="BC551" s="16"/>
      <c r="BD551" s="16"/>
      <c r="BE551" s="16"/>
      <c r="BF551" s="16"/>
      <c r="BG551" s="16"/>
    </row>
    <row r="552" spans="27:59">
      <c r="AA552" s="16"/>
      <c r="AB552" s="16"/>
      <c r="AC552" s="18" t="s">
        <v>299</v>
      </c>
      <c r="AD552" s="18" t="s">
        <v>299</v>
      </c>
      <c r="AF552" s="16"/>
      <c r="AG552" s="16"/>
      <c r="AH552" s="16"/>
      <c r="AI552" s="16"/>
      <c r="AJ552" s="16"/>
      <c r="AK552" s="16"/>
      <c r="AL552" s="16"/>
      <c r="AM552" s="16"/>
      <c r="AN552" s="16"/>
      <c r="AO552" s="16"/>
      <c r="AP552" s="16"/>
      <c r="AQ552" s="19" t="s">
        <v>22</v>
      </c>
      <c r="AR552" s="19" t="s">
        <v>300</v>
      </c>
      <c r="AS552" s="16"/>
      <c r="AT552" s="16"/>
      <c r="AU552" s="16"/>
      <c r="AV552" s="16"/>
      <c r="AW552" s="16"/>
      <c r="AX552" s="16"/>
      <c r="AY552" s="16"/>
      <c r="AZ552" s="16"/>
      <c r="BA552" s="16"/>
      <c r="BB552" s="16"/>
      <c r="BC552" s="16"/>
      <c r="BD552" s="16"/>
      <c r="BE552" s="16"/>
      <c r="BF552" s="16"/>
      <c r="BG552" s="16"/>
    </row>
    <row r="553" spans="27:59">
      <c r="AA553" s="16"/>
      <c r="AB553" s="16"/>
      <c r="AC553" s="18" t="s">
        <v>301</v>
      </c>
      <c r="AD553" s="18" t="s">
        <v>301</v>
      </c>
      <c r="AF553" s="16"/>
      <c r="AG553" s="16"/>
      <c r="AH553" s="16"/>
      <c r="AI553" s="16"/>
      <c r="AJ553" s="16"/>
      <c r="AK553" s="16"/>
      <c r="AL553" s="16"/>
      <c r="AM553" s="16"/>
      <c r="AN553" s="16"/>
      <c r="AO553" s="16"/>
      <c r="AP553" s="16"/>
      <c r="AQ553" s="19" t="s">
        <v>22</v>
      </c>
      <c r="AR553" s="19" t="s">
        <v>302</v>
      </c>
      <c r="AS553" s="16"/>
      <c r="AT553" s="16"/>
      <c r="AU553" s="16"/>
      <c r="AV553" s="16"/>
      <c r="AW553" s="16"/>
      <c r="AX553" s="16"/>
      <c r="AY553" s="16"/>
      <c r="AZ553" s="16"/>
      <c r="BA553" s="16"/>
      <c r="BB553" s="16"/>
      <c r="BC553" s="16"/>
      <c r="BD553" s="16"/>
      <c r="BE553" s="16"/>
      <c r="BF553" s="16"/>
      <c r="BG553" s="16"/>
    </row>
    <row r="554" spans="27:59">
      <c r="AA554" s="16"/>
      <c r="AB554" s="16"/>
      <c r="AC554" s="18" t="s">
        <v>303</v>
      </c>
      <c r="AD554" s="18" t="s">
        <v>303</v>
      </c>
      <c r="AF554" s="16"/>
      <c r="AG554" s="16"/>
      <c r="AH554" s="16"/>
      <c r="AI554" s="16"/>
      <c r="AJ554" s="16"/>
      <c r="AK554" s="16"/>
      <c r="AL554" s="16"/>
      <c r="AM554" s="16"/>
      <c r="AN554" s="16"/>
      <c r="AO554" s="16"/>
      <c r="AP554" s="16"/>
      <c r="AQ554" s="19" t="s">
        <v>22</v>
      </c>
      <c r="AR554" s="19" t="s">
        <v>304</v>
      </c>
      <c r="AS554" s="16"/>
      <c r="AT554" s="16"/>
      <c r="AU554" s="16"/>
      <c r="AV554" s="16"/>
      <c r="AW554" s="16"/>
      <c r="AX554" s="16"/>
      <c r="AY554" s="16"/>
      <c r="AZ554" s="16"/>
      <c r="BA554" s="16"/>
      <c r="BB554" s="16"/>
      <c r="BC554" s="16"/>
      <c r="BD554" s="16"/>
      <c r="BE554" s="16"/>
      <c r="BF554" s="16"/>
      <c r="BG554" s="16"/>
    </row>
    <row r="555" spans="27:59">
      <c r="AA555" s="16"/>
      <c r="AB555" s="16"/>
      <c r="AC555" s="18" t="s">
        <v>305</v>
      </c>
      <c r="AD555" s="18" t="s">
        <v>305</v>
      </c>
      <c r="AF555" s="16"/>
      <c r="AG555" s="16"/>
      <c r="AH555" s="16"/>
      <c r="AI555" s="16"/>
      <c r="AJ555" s="16"/>
      <c r="AK555" s="16"/>
      <c r="AL555" s="16"/>
      <c r="AM555" s="16"/>
      <c r="AN555" s="16"/>
      <c r="AO555" s="16"/>
      <c r="AP555" s="16"/>
      <c r="AQ555" s="19" t="s">
        <v>22</v>
      </c>
      <c r="AR555" s="19" t="s">
        <v>22</v>
      </c>
      <c r="AS555" s="16"/>
      <c r="AT555" s="16"/>
      <c r="AU555" s="16"/>
      <c r="AV555" s="16"/>
      <c r="AW555" s="16"/>
      <c r="AX555" s="16"/>
      <c r="AY555" s="16"/>
      <c r="AZ555" s="16"/>
      <c r="BA555" s="16"/>
      <c r="BB555" s="16"/>
      <c r="BC555" s="16"/>
      <c r="BD555" s="16"/>
      <c r="BE555" s="16"/>
      <c r="BF555" s="16"/>
      <c r="BG555" s="16"/>
    </row>
    <row r="556" spans="27:59">
      <c r="AA556" s="16"/>
      <c r="AB556" s="16"/>
      <c r="AC556" s="18" t="s">
        <v>20</v>
      </c>
      <c r="AD556" s="18" t="s">
        <v>20</v>
      </c>
      <c r="AF556" s="16"/>
      <c r="AG556" s="16"/>
      <c r="AH556" s="16"/>
      <c r="AI556" s="16"/>
      <c r="AJ556" s="16"/>
      <c r="AK556" s="16"/>
      <c r="AL556" s="16"/>
      <c r="AM556" s="16"/>
      <c r="AN556" s="16"/>
      <c r="AO556" s="16"/>
      <c r="AP556" s="16"/>
      <c r="AQ556" s="19" t="s">
        <v>22</v>
      </c>
      <c r="AR556" s="19" t="s">
        <v>306</v>
      </c>
      <c r="AS556" s="16"/>
      <c r="AT556" s="16"/>
      <c r="AU556" s="16"/>
      <c r="AV556" s="16"/>
      <c r="AW556" s="16"/>
      <c r="AX556" s="16"/>
      <c r="AY556" s="16"/>
      <c r="AZ556" s="16"/>
      <c r="BA556" s="16"/>
      <c r="BB556" s="16"/>
      <c r="BC556" s="16"/>
      <c r="BD556" s="16"/>
      <c r="BE556" s="16"/>
      <c r="BF556" s="16"/>
      <c r="BG556" s="16"/>
    </row>
    <row r="557" spans="27:59">
      <c r="AA557" s="16"/>
      <c r="AB557" s="16"/>
      <c r="AC557" s="18" t="s">
        <v>307</v>
      </c>
      <c r="AD557" s="18" t="s">
        <v>307</v>
      </c>
      <c r="AF557" s="16"/>
      <c r="AG557" s="16"/>
      <c r="AH557" s="16"/>
      <c r="AI557" s="16"/>
      <c r="AJ557" s="16"/>
      <c r="AK557" s="16"/>
      <c r="AL557" s="16"/>
      <c r="AM557" s="16"/>
      <c r="AN557" s="16"/>
      <c r="AO557" s="16"/>
      <c r="AP557" s="16"/>
      <c r="AQ557" s="19" t="s">
        <v>22</v>
      </c>
      <c r="AR557" s="19" t="s">
        <v>308</v>
      </c>
      <c r="AS557" s="16"/>
      <c r="AT557" s="16"/>
      <c r="AU557" s="16"/>
      <c r="AV557" s="16"/>
      <c r="AW557" s="16"/>
      <c r="AX557" s="16"/>
      <c r="AY557" s="16"/>
      <c r="AZ557" s="16"/>
      <c r="BA557" s="16"/>
      <c r="BB557" s="16"/>
      <c r="BC557" s="16"/>
      <c r="BD557" s="16"/>
      <c r="BE557" s="16"/>
      <c r="BF557" s="16"/>
      <c r="BG557" s="16"/>
    </row>
    <row r="558" spans="27:59">
      <c r="AA558" s="16"/>
      <c r="AB558" s="16"/>
      <c r="AC558" s="18" t="s">
        <v>309</v>
      </c>
      <c r="AD558" s="18" t="s">
        <v>309</v>
      </c>
      <c r="AF558" s="16"/>
      <c r="AG558" s="16"/>
      <c r="AH558" s="16"/>
      <c r="AI558" s="16"/>
      <c r="AJ558" s="16"/>
      <c r="AK558" s="16"/>
      <c r="AL558" s="16"/>
      <c r="AM558" s="16"/>
      <c r="AN558" s="16"/>
      <c r="AO558" s="16"/>
      <c r="AP558" s="16"/>
      <c r="AQ558" s="19" t="s">
        <v>310</v>
      </c>
      <c r="AR558" s="19" t="s">
        <v>311</v>
      </c>
      <c r="AS558" s="16"/>
      <c r="AT558" s="16"/>
      <c r="AU558" s="16"/>
      <c r="AV558" s="16"/>
      <c r="AW558" s="16"/>
      <c r="AX558" s="16"/>
      <c r="AY558" s="16"/>
      <c r="AZ558" s="16"/>
      <c r="BA558" s="16"/>
      <c r="BB558" s="16"/>
      <c r="BC558" s="16"/>
      <c r="BD558" s="16"/>
      <c r="BE558" s="16"/>
      <c r="BF558" s="16"/>
      <c r="BG558" s="16"/>
    </row>
    <row r="559" spans="27:59">
      <c r="AA559" s="16"/>
      <c r="AB559" s="16"/>
      <c r="AC559" s="18" t="s">
        <v>312</v>
      </c>
      <c r="AD559" s="18" t="s">
        <v>312</v>
      </c>
      <c r="AF559" s="16"/>
      <c r="AG559" s="16"/>
      <c r="AH559" s="16"/>
      <c r="AI559" s="16"/>
      <c r="AJ559" s="16"/>
      <c r="AK559" s="16"/>
      <c r="AL559" s="16"/>
      <c r="AM559" s="16"/>
      <c r="AN559" s="16"/>
      <c r="AO559" s="16"/>
      <c r="AP559" s="16"/>
      <c r="AQ559" s="19" t="s">
        <v>310</v>
      </c>
      <c r="AR559" s="19" t="s">
        <v>313</v>
      </c>
      <c r="AS559" s="16"/>
      <c r="AT559" s="16"/>
      <c r="AU559" s="16"/>
      <c r="AV559" s="16"/>
      <c r="AW559" s="16"/>
      <c r="AX559" s="16"/>
      <c r="AY559" s="16"/>
      <c r="AZ559" s="16"/>
      <c r="BA559" s="16"/>
      <c r="BB559" s="16"/>
      <c r="BC559" s="16"/>
      <c r="BD559" s="16"/>
      <c r="BE559" s="16"/>
      <c r="BF559" s="16"/>
      <c r="BG559" s="16"/>
    </row>
    <row r="560" spans="27:59">
      <c r="AA560" s="16"/>
      <c r="AB560" s="16"/>
      <c r="AC560" s="18" t="s">
        <v>314</v>
      </c>
      <c r="AD560" s="18" t="s">
        <v>314</v>
      </c>
      <c r="AF560" s="16"/>
      <c r="AG560" s="16"/>
      <c r="AH560" s="16"/>
      <c r="AI560" s="16"/>
      <c r="AJ560" s="16"/>
      <c r="AK560" s="16"/>
      <c r="AL560" s="16"/>
      <c r="AM560" s="16"/>
      <c r="AN560" s="16"/>
      <c r="AO560" s="16"/>
      <c r="AP560" s="16"/>
      <c r="AQ560" s="19" t="s">
        <v>169</v>
      </c>
      <c r="AR560" s="19" t="s">
        <v>171</v>
      </c>
      <c r="AS560" s="16"/>
      <c r="AT560" s="16"/>
      <c r="AU560" s="16"/>
      <c r="AV560" s="16"/>
      <c r="AW560" s="16"/>
      <c r="AX560" s="16"/>
      <c r="AY560" s="16"/>
      <c r="AZ560" s="16"/>
      <c r="BA560" s="16"/>
      <c r="BB560" s="16"/>
      <c r="BC560" s="16"/>
      <c r="BD560" s="16"/>
      <c r="BE560" s="16"/>
      <c r="BF560" s="16"/>
      <c r="BG560" s="16"/>
    </row>
    <row r="561" spans="27:59">
      <c r="AA561" s="16"/>
      <c r="AB561" s="16"/>
      <c r="AC561" s="18" t="s">
        <v>315</v>
      </c>
      <c r="AD561" s="18" t="s">
        <v>315</v>
      </c>
      <c r="AF561" s="16"/>
      <c r="AG561" s="16"/>
      <c r="AH561" s="16"/>
      <c r="AI561" s="16"/>
      <c r="AJ561" s="16"/>
      <c r="AK561" s="16"/>
      <c r="AL561" s="16"/>
      <c r="AM561" s="16"/>
      <c r="AN561" s="16"/>
      <c r="AO561" s="16"/>
      <c r="AP561" s="16"/>
      <c r="AQ561" s="19" t="s">
        <v>169</v>
      </c>
      <c r="AR561" s="19" t="s">
        <v>316</v>
      </c>
      <c r="AS561" s="16"/>
      <c r="AT561" s="16"/>
      <c r="AU561" s="16"/>
      <c r="AV561" s="16"/>
      <c r="AW561" s="16"/>
      <c r="AX561" s="16"/>
      <c r="AY561" s="16"/>
      <c r="AZ561" s="16"/>
      <c r="BA561" s="16"/>
      <c r="BB561" s="16"/>
      <c r="BC561" s="16"/>
      <c r="BD561" s="16"/>
      <c r="BE561" s="16"/>
      <c r="BF561" s="16"/>
      <c r="BG561" s="16"/>
    </row>
    <row r="562" spans="27:59">
      <c r="AA562" s="16"/>
      <c r="AB562" s="16"/>
      <c r="AC562" s="18" t="s">
        <v>317</v>
      </c>
      <c r="AD562" s="18" t="s">
        <v>317</v>
      </c>
      <c r="AF562" s="16"/>
      <c r="AG562" s="16"/>
      <c r="AH562" s="16"/>
      <c r="AI562" s="16"/>
      <c r="AJ562" s="16"/>
      <c r="AK562" s="16"/>
      <c r="AL562" s="16"/>
      <c r="AM562" s="16"/>
      <c r="AN562" s="16"/>
      <c r="AO562" s="16"/>
      <c r="AP562" s="16"/>
      <c r="AQ562" s="19" t="s">
        <v>169</v>
      </c>
      <c r="AR562" s="19" t="s">
        <v>318</v>
      </c>
      <c r="AS562" s="16"/>
      <c r="AT562" s="16"/>
      <c r="AU562" s="16"/>
      <c r="AV562" s="16"/>
      <c r="AW562" s="16"/>
      <c r="AX562" s="16"/>
      <c r="AY562" s="16"/>
      <c r="AZ562" s="16"/>
      <c r="BA562" s="16"/>
      <c r="BB562" s="16"/>
      <c r="BC562" s="16"/>
      <c r="BD562" s="16"/>
      <c r="BE562" s="16"/>
      <c r="BF562" s="16"/>
      <c r="BG562" s="16"/>
    </row>
    <row r="563" spans="27:59">
      <c r="AA563" s="16"/>
      <c r="AB563" s="16"/>
      <c r="AC563" s="18" t="s">
        <v>319</v>
      </c>
      <c r="AD563" s="18" t="s">
        <v>319</v>
      </c>
      <c r="AF563" s="16"/>
      <c r="AG563" s="16"/>
      <c r="AH563" s="16"/>
      <c r="AI563" s="16"/>
      <c r="AJ563" s="16"/>
      <c r="AK563" s="16"/>
      <c r="AL563" s="16"/>
      <c r="AM563" s="16"/>
      <c r="AN563" s="16"/>
      <c r="AO563" s="16"/>
      <c r="AP563" s="16"/>
      <c r="AQ563" s="19" t="s">
        <v>169</v>
      </c>
      <c r="AR563" s="19" t="s">
        <v>320</v>
      </c>
      <c r="AS563" s="16"/>
      <c r="AT563" s="16"/>
      <c r="AU563" s="16"/>
      <c r="AV563" s="16"/>
      <c r="AW563" s="16"/>
      <c r="AX563" s="16"/>
      <c r="AY563" s="16"/>
      <c r="AZ563" s="16"/>
      <c r="BA563" s="16"/>
      <c r="BB563" s="16"/>
      <c r="BC563" s="16"/>
      <c r="BD563" s="16"/>
      <c r="BE563" s="16"/>
      <c r="BF563" s="16"/>
      <c r="BG563" s="16"/>
    </row>
    <row r="564" spans="27:59">
      <c r="AA564" s="16"/>
      <c r="AB564" s="16"/>
      <c r="AC564" s="18" t="s">
        <v>321</v>
      </c>
      <c r="AD564" s="18" t="s">
        <v>321</v>
      </c>
      <c r="AF564" s="16"/>
      <c r="AG564" s="16"/>
      <c r="AH564" s="16"/>
      <c r="AI564" s="16"/>
      <c r="AJ564" s="16"/>
      <c r="AK564" s="16"/>
      <c r="AL564" s="16"/>
      <c r="AM564" s="16"/>
      <c r="AN564" s="16"/>
      <c r="AO564" s="16"/>
      <c r="AP564" s="16"/>
      <c r="AQ564" s="19" t="s">
        <v>169</v>
      </c>
      <c r="AR564" s="19" t="s">
        <v>322</v>
      </c>
      <c r="AS564" s="16"/>
      <c r="AT564" s="16"/>
      <c r="AU564" s="16"/>
      <c r="AV564" s="16"/>
      <c r="AW564" s="16"/>
      <c r="AX564" s="16"/>
      <c r="AY564" s="16"/>
      <c r="AZ564" s="16"/>
      <c r="BA564" s="16"/>
      <c r="BB564" s="16"/>
      <c r="BC564" s="16"/>
      <c r="BD564" s="16"/>
      <c r="BE564" s="16"/>
      <c r="BF564" s="16"/>
      <c r="BG564" s="16"/>
    </row>
    <row r="565" spans="27:59">
      <c r="AA565" s="16"/>
      <c r="AB565" s="16"/>
      <c r="AC565" s="18" t="s">
        <v>323</v>
      </c>
      <c r="AD565" s="18" t="s">
        <v>323</v>
      </c>
      <c r="AF565" s="16"/>
      <c r="AG565" s="16"/>
      <c r="AH565" s="16"/>
      <c r="AI565" s="16"/>
      <c r="AJ565" s="16"/>
      <c r="AK565" s="16"/>
      <c r="AL565" s="16"/>
      <c r="AM565" s="16"/>
      <c r="AN565" s="16"/>
      <c r="AO565" s="16"/>
      <c r="AP565" s="16"/>
      <c r="AQ565" s="19" t="s">
        <v>203</v>
      </c>
      <c r="AR565" s="19" t="s">
        <v>204</v>
      </c>
      <c r="AS565" s="16"/>
      <c r="AT565" s="16"/>
      <c r="AU565" s="16"/>
      <c r="AV565" s="16"/>
      <c r="AW565" s="16"/>
      <c r="AX565" s="16"/>
      <c r="AY565" s="16"/>
      <c r="AZ565" s="16"/>
      <c r="BA565" s="16"/>
      <c r="BB565" s="16"/>
      <c r="BC565" s="16"/>
      <c r="BD565" s="16"/>
      <c r="BE565" s="16"/>
      <c r="BF565" s="16"/>
      <c r="BG565" s="16"/>
    </row>
    <row r="566" spans="27:59">
      <c r="AA566" s="16"/>
      <c r="AB566" s="16"/>
      <c r="AC566" s="18" t="s">
        <v>324</v>
      </c>
      <c r="AD566" s="18" t="s">
        <v>324</v>
      </c>
      <c r="AF566" s="16"/>
      <c r="AG566" s="16"/>
      <c r="AH566" s="16"/>
      <c r="AI566" s="16"/>
      <c r="AJ566" s="16"/>
      <c r="AK566" s="16"/>
      <c r="AL566" s="16"/>
      <c r="AM566" s="16"/>
      <c r="AN566" s="16"/>
      <c r="AO566" s="16"/>
      <c r="AP566" s="16"/>
      <c r="AQ566" s="19" t="s">
        <v>203</v>
      </c>
      <c r="AR566" s="19" t="s">
        <v>325</v>
      </c>
      <c r="AS566" s="16"/>
      <c r="AT566" s="16"/>
      <c r="AU566" s="16"/>
      <c r="AV566" s="16"/>
      <c r="AW566" s="16"/>
      <c r="AX566" s="16"/>
      <c r="AY566" s="16"/>
      <c r="AZ566" s="16"/>
      <c r="BA566" s="16"/>
      <c r="BB566" s="16"/>
      <c r="BC566" s="16"/>
      <c r="BD566" s="16"/>
      <c r="BE566" s="16"/>
      <c r="BF566" s="16"/>
      <c r="BG566" s="16"/>
    </row>
    <row r="567" spans="27:59">
      <c r="AA567" s="16"/>
      <c r="AB567" s="16"/>
      <c r="AC567" s="18" t="s">
        <v>326</v>
      </c>
      <c r="AD567" s="18" t="s">
        <v>326</v>
      </c>
      <c r="AF567" s="16"/>
      <c r="AG567" s="16"/>
      <c r="AH567" s="16"/>
      <c r="AI567" s="16"/>
      <c r="AJ567" s="16"/>
      <c r="AK567" s="16"/>
      <c r="AL567" s="16"/>
      <c r="AM567" s="16"/>
      <c r="AN567" s="16"/>
      <c r="AO567" s="16"/>
      <c r="AP567" s="16"/>
      <c r="AQ567" s="19" t="s">
        <v>203</v>
      </c>
      <c r="AR567" s="19" t="s">
        <v>327</v>
      </c>
      <c r="AS567" s="16"/>
      <c r="AT567" s="16"/>
      <c r="AU567" s="16"/>
      <c r="AV567" s="16"/>
      <c r="AW567" s="16"/>
      <c r="AX567" s="16"/>
      <c r="AY567" s="16"/>
      <c r="AZ567" s="16"/>
      <c r="BA567" s="16"/>
      <c r="BB567" s="16"/>
      <c r="BC567" s="16"/>
      <c r="BD567" s="16"/>
      <c r="BE567" s="16"/>
      <c r="BF567" s="16"/>
      <c r="BG567" s="16"/>
    </row>
    <row r="568" spans="27:59">
      <c r="AA568" s="16"/>
      <c r="AB568" s="16"/>
      <c r="AC568" s="18" t="s">
        <v>328</v>
      </c>
      <c r="AD568" s="18" t="s">
        <v>328</v>
      </c>
      <c r="AF568" s="16"/>
      <c r="AG568" s="16"/>
      <c r="AH568" s="16"/>
      <c r="AI568" s="16"/>
      <c r="AJ568" s="16"/>
      <c r="AK568" s="16"/>
      <c r="AL568" s="16"/>
      <c r="AM568" s="16"/>
      <c r="AN568" s="16"/>
      <c r="AO568" s="16"/>
      <c r="AP568" s="16"/>
      <c r="AQ568" s="19" t="s">
        <v>203</v>
      </c>
      <c r="AR568" s="19" t="s">
        <v>329</v>
      </c>
      <c r="AS568" s="16"/>
      <c r="AT568" s="16"/>
      <c r="AU568" s="16"/>
      <c r="AV568" s="16"/>
      <c r="AW568" s="16"/>
      <c r="AX568" s="16"/>
      <c r="AY568" s="16"/>
      <c r="AZ568" s="16"/>
      <c r="BA568" s="16"/>
      <c r="BB568" s="16"/>
      <c r="BC568" s="16"/>
      <c r="BD568" s="16"/>
      <c r="BE568" s="16"/>
      <c r="BF568" s="16"/>
      <c r="BG568" s="16"/>
    </row>
    <row r="569" spans="27:59">
      <c r="AA569" s="16"/>
      <c r="AB569" s="16"/>
      <c r="AC569" s="18" t="s">
        <v>330</v>
      </c>
      <c r="AD569" s="18" t="s">
        <v>330</v>
      </c>
      <c r="AF569" s="16"/>
      <c r="AG569" s="16"/>
      <c r="AH569" s="16"/>
      <c r="AI569" s="16"/>
      <c r="AJ569" s="16"/>
      <c r="AK569" s="16"/>
      <c r="AL569" s="16"/>
      <c r="AM569" s="16"/>
      <c r="AN569" s="16"/>
      <c r="AO569" s="16"/>
      <c r="AP569" s="16"/>
      <c r="AQ569" s="19" t="s">
        <v>203</v>
      </c>
      <c r="AR569" s="19" t="s">
        <v>331</v>
      </c>
      <c r="AS569" s="16"/>
      <c r="AT569" s="16"/>
      <c r="AU569" s="16"/>
      <c r="AV569" s="16"/>
      <c r="AW569" s="16"/>
      <c r="AX569" s="16"/>
      <c r="AY569" s="16"/>
      <c r="AZ569" s="16"/>
      <c r="BA569" s="16"/>
      <c r="BB569" s="16"/>
      <c r="BC569" s="16"/>
      <c r="BD569" s="16"/>
      <c r="BE569" s="16"/>
      <c r="BF569" s="16"/>
      <c r="BG569" s="16"/>
    </row>
    <row r="570" spans="27:59">
      <c r="AA570" s="16"/>
      <c r="AB570" s="16"/>
      <c r="AC570" s="18" t="s">
        <v>332</v>
      </c>
      <c r="AD570" s="18" t="s">
        <v>332</v>
      </c>
      <c r="AF570" s="16"/>
      <c r="AG570" s="16"/>
      <c r="AH570" s="16"/>
      <c r="AI570" s="16"/>
      <c r="AJ570" s="16"/>
      <c r="AK570" s="16"/>
      <c r="AL570" s="16"/>
      <c r="AM570" s="16"/>
      <c r="AN570" s="16"/>
      <c r="AO570" s="16"/>
      <c r="AP570" s="16"/>
      <c r="AQ570" s="19" t="s">
        <v>213</v>
      </c>
      <c r="AR570" s="19" t="s">
        <v>265</v>
      </c>
      <c r="AS570" s="16"/>
      <c r="AT570" s="16"/>
      <c r="AU570" s="16"/>
      <c r="AV570" s="16"/>
      <c r="AW570" s="16"/>
      <c r="AX570" s="16"/>
      <c r="AY570" s="16"/>
      <c r="AZ570" s="16"/>
      <c r="BA570" s="16"/>
      <c r="BB570" s="16"/>
      <c r="BC570" s="16"/>
      <c r="BD570" s="16"/>
      <c r="BE570" s="16"/>
      <c r="BF570" s="16"/>
      <c r="BG570" s="16"/>
    </row>
    <row r="571" spans="27:59">
      <c r="AA571" s="16"/>
      <c r="AB571" s="16"/>
      <c r="AC571" s="18" t="s">
        <v>333</v>
      </c>
      <c r="AD571" s="18" t="s">
        <v>333</v>
      </c>
      <c r="AF571" s="16"/>
      <c r="AG571" s="16"/>
      <c r="AH571" s="16"/>
      <c r="AI571" s="16"/>
      <c r="AJ571" s="16"/>
      <c r="AK571" s="16"/>
      <c r="AL571" s="16"/>
      <c r="AM571" s="16"/>
      <c r="AN571" s="16"/>
      <c r="AO571" s="16"/>
      <c r="AP571" s="16"/>
      <c r="AQ571" s="19" t="s">
        <v>213</v>
      </c>
      <c r="AR571" s="19" t="s">
        <v>334</v>
      </c>
      <c r="AS571" s="16"/>
      <c r="AT571" s="16"/>
      <c r="AU571" s="16"/>
      <c r="AV571" s="16"/>
      <c r="AW571" s="16"/>
      <c r="AX571" s="16"/>
      <c r="AY571" s="16"/>
      <c r="AZ571" s="16"/>
      <c r="BA571" s="16"/>
      <c r="BB571" s="16"/>
      <c r="BC571" s="16"/>
      <c r="BD571" s="16"/>
      <c r="BE571" s="16"/>
      <c r="BF571" s="16"/>
      <c r="BG571" s="16"/>
    </row>
    <row r="572" spans="27:59">
      <c r="AA572" s="16"/>
      <c r="AB572" s="16"/>
      <c r="AC572" s="18" t="s">
        <v>335</v>
      </c>
      <c r="AD572" s="18" t="s">
        <v>335</v>
      </c>
      <c r="AF572" s="16"/>
      <c r="AG572" s="16"/>
      <c r="AH572" s="16"/>
      <c r="AI572" s="16"/>
      <c r="AJ572" s="16"/>
      <c r="AK572" s="16"/>
      <c r="AL572" s="16"/>
      <c r="AM572" s="16"/>
      <c r="AN572" s="16"/>
      <c r="AO572" s="16"/>
      <c r="AP572" s="16"/>
      <c r="AQ572" s="19" t="s">
        <v>213</v>
      </c>
      <c r="AR572" s="19" t="s">
        <v>336</v>
      </c>
      <c r="AS572" s="16"/>
      <c r="AT572" s="16"/>
      <c r="AU572" s="16"/>
      <c r="AV572" s="16"/>
      <c r="AW572" s="16"/>
      <c r="AX572" s="16"/>
      <c r="AY572" s="16"/>
      <c r="AZ572" s="16"/>
      <c r="BA572" s="16"/>
      <c r="BB572" s="16"/>
      <c r="BC572" s="16"/>
      <c r="BD572" s="16"/>
      <c r="BE572" s="16"/>
      <c r="BF572" s="16"/>
      <c r="BG572" s="16"/>
    </row>
    <row r="573" spans="27:59">
      <c r="AA573" s="16"/>
      <c r="AB573" s="16"/>
      <c r="AC573" s="18" t="s">
        <v>337</v>
      </c>
      <c r="AD573" s="18" t="s">
        <v>337</v>
      </c>
      <c r="AF573" s="16"/>
      <c r="AG573" s="16"/>
      <c r="AH573" s="16"/>
      <c r="AI573" s="16"/>
      <c r="AJ573" s="16"/>
      <c r="AK573" s="16"/>
      <c r="AL573" s="16"/>
      <c r="AM573" s="16"/>
      <c r="AN573" s="16"/>
      <c r="AO573" s="16"/>
      <c r="AP573" s="16"/>
      <c r="AQ573" s="19" t="s">
        <v>213</v>
      </c>
      <c r="AR573" s="19" t="s">
        <v>338</v>
      </c>
      <c r="AS573" s="16"/>
      <c r="AT573" s="16"/>
      <c r="AU573" s="16"/>
      <c r="AV573" s="16"/>
      <c r="AW573" s="16"/>
      <c r="AX573" s="16"/>
      <c r="AY573" s="16"/>
      <c r="AZ573" s="16"/>
      <c r="BA573" s="16"/>
      <c r="BB573" s="16"/>
      <c r="BC573" s="16"/>
      <c r="BD573" s="16"/>
      <c r="BE573" s="16"/>
      <c r="BF573" s="16"/>
      <c r="BG573" s="16"/>
    </row>
    <row r="574" spans="27:59">
      <c r="AA574" s="16"/>
      <c r="AB574" s="16"/>
      <c r="AC574" s="18" t="s">
        <v>133</v>
      </c>
      <c r="AD574" s="18" t="s">
        <v>133</v>
      </c>
      <c r="AF574" s="16"/>
      <c r="AG574" s="16"/>
      <c r="AH574" s="16"/>
      <c r="AI574" s="16"/>
      <c r="AJ574" s="16"/>
      <c r="AK574" s="16"/>
      <c r="AL574" s="16"/>
      <c r="AM574" s="16"/>
      <c r="AN574" s="16"/>
      <c r="AO574" s="16"/>
      <c r="AP574" s="16"/>
      <c r="AQ574" s="19" t="s">
        <v>213</v>
      </c>
      <c r="AR574" s="19" t="s">
        <v>339</v>
      </c>
      <c r="AS574" s="16"/>
      <c r="AT574" s="16"/>
      <c r="AU574" s="16"/>
      <c r="AV574" s="16"/>
      <c r="AW574" s="16"/>
      <c r="AX574" s="16"/>
      <c r="AY574" s="16"/>
      <c r="AZ574" s="16"/>
      <c r="BA574" s="16"/>
      <c r="BB574" s="16"/>
      <c r="BC574" s="16"/>
      <c r="BD574" s="16"/>
      <c r="BE574" s="16"/>
      <c r="BF574" s="16"/>
      <c r="BG574" s="16"/>
    </row>
    <row r="575" spans="27:59">
      <c r="AA575" s="16"/>
      <c r="AB575" s="16"/>
      <c r="AC575" s="18" t="s">
        <v>340</v>
      </c>
      <c r="AD575" s="18" t="s">
        <v>340</v>
      </c>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row>
    <row r="576" spans="27:59">
      <c r="AA576" s="16"/>
      <c r="AB576" s="16"/>
      <c r="AC576" s="18" t="s">
        <v>206</v>
      </c>
      <c r="AD576" s="18" t="s">
        <v>206</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c r="AA577" s="16"/>
      <c r="AB577" s="16"/>
      <c r="AC577" s="18" t="s">
        <v>341</v>
      </c>
      <c r="AD577" s="18" t="s">
        <v>341</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c r="AA578" s="16"/>
      <c r="AB578" s="16"/>
      <c r="AC578" s="18" t="s">
        <v>342</v>
      </c>
      <c r="AD578" s="18" t="s">
        <v>342</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c r="AA579" s="16"/>
      <c r="AB579" s="16"/>
      <c r="AC579" s="18" t="s">
        <v>343</v>
      </c>
      <c r="AD579" s="18" t="s">
        <v>343</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c r="AA580" s="16"/>
      <c r="AB580" s="16"/>
      <c r="AC580" s="18" t="s">
        <v>344</v>
      </c>
      <c r="AD580" s="18" t="s">
        <v>344</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c r="AA581" s="16"/>
      <c r="AB581" s="16"/>
      <c r="AC581" s="18" t="s">
        <v>144</v>
      </c>
      <c r="AD581" s="18" t="s">
        <v>144</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c r="AA582" s="16"/>
      <c r="AB582" s="16"/>
      <c r="AC582" s="18" t="s">
        <v>345</v>
      </c>
      <c r="AD582" s="18" t="s">
        <v>345</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c r="AA583" s="16"/>
      <c r="AB583" s="16"/>
      <c r="AC583" s="18" t="s">
        <v>346</v>
      </c>
      <c r="AD583" s="18" t="s">
        <v>346</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c r="AA584" s="16"/>
      <c r="AB584" s="16"/>
      <c r="AC584" s="18" t="s">
        <v>347</v>
      </c>
      <c r="AD584" s="18" t="s">
        <v>347</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c r="AA585" s="16"/>
      <c r="AB585" s="16"/>
      <c r="AC585" s="18" t="s">
        <v>348</v>
      </c>
      <c r="AD585" s="18" t="s">
        <v>348</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c r="AA586" s="16"/>
      <c r="AB586" s="16"/>
      <c r="AC586" s="18" t="s">
        <v>349</v>
      </c>
      <c r="AD586" s="18" t="s">
        <v>349</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c r="AA587" s="16"/>
      <c r="AB587" s="16"/>
      <c r="AC587" s="18" t="s">
        <v>350</v>
      </c>
      <c r="AD587" s="18" t="s">
        <v>350</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c r="AA588" s="16"/>
      <c r="AB588" s="16"/>
      <c r="AC588" s="18" t="s">
        <v>351</v>
      </c>
      <c r="AD588" s="18" t="s">
        <v>351</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c r="AA589" s="16"/>
      <c r="AB589" s="16"/>
      <c r="AC589" s="18" t="s">
        <v>352</v>
      </c>
      <c r="AD589" s="18" t="s">
        <v>352</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c r="AA590" s="16"/>
      <c r="AB590" s="16"/>
      <c r="AC590" s="18" t="s">
        <v>353</v>
      </c>
      <c r="AD590" s="18" t="s">
        <v>353</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c r="AA591" s="16"/>
      <c r="AB591" s="16"/>
      <c r="AC591" s="18" t="s">
        <v>354</v>
      </c>
      <c r="AD591" s="18" t="s">
        <v>354</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c r="AA592" s="16"/>
      <c r="AB592" s="16"/>
      <c r="AC592" s="18" t="s">
        <v>355</v>
      </c>
      <c r="AD592" s="18" t="s">
        <v>209</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c r="AA593" s="16"/>
      <c r="AB593" s="16"/>
      <c r="AC593" s="18" t="s">
        <v>356</v>
      </c>
      <c r="AD593" s="18" t="s">
        <v>188</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c r="AA594" s="16"/>
      <c r="AB594" s="16"/>
      <c r="AC594" s="18" t="s">
        <v>357</v>
      </c>
      <c r="AD594" s="18" t="s">
        <v>195</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c r="AA595" s="16"/>
      <c r="AB595" s="16"/>
      <c r="AC595" s="18" t="s">
        <v>358</v>
      </c>
      <c r="AD595" s="18" t="s">
        <v>204</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c r="AA596" s="16"/>
      <c r="AB596" s="16"/>
      <c r="AC596" s="18" t="s">
        <v>359</v>
      </c>
      <c r="AD596" s="18" t="s">
        <v>209</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c r="AA597" s="16"/>
      <c r="AB597" s="16"/>
      <c r="AC597" s="18" t="s">
        <v>360</v>
      </c>
      <c r="AD597" s="18" t="s">
        <v>235</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c r="AA598" s="16"/>
      <c r="AB598" s="16"/>
      <c r="AC598" s="18" t="s">
        <v>361</v>
      </c>
      <c r="AD598" s="18" t="s">
        <v>281</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c r="AA599" s="16"/>
      <c r="AB599" s="16"/>
      <c r="AC599" s="18" t="s">
        <v>362</v>
      </c>
      <c r="AD599" s="18" t="s">
        <v>289</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c r="AA600" s="16"/>
      <c r="AB600" s="16"/>
      <c r="AC600" s="18" t="s">
        <v>363</v>
      </c>
      <c r="AD600" s="18" t="s">
        <v>295</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c r="AA601" s="16"/>
      <c r="AB601" s="16"/>
      <c r="AC601" s="18" t="s">
        <v>364</v>
      </c>
      <c r="AD601" s="18" t="s">
        <v>20</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c r="AA602" s="16"/>
      <c r="AB602" s="16"/>
      <c r="AC602" s="18" t="s">
        <v>365</v>
      </c>
      <c r="AD602" s="18" t="s">
        <v>312</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c r="AC603" s="18" t="s">
        <v>366</v>
      </c>
      <c r="AD603" s="18" t="s">
        <v>317</v>
      </c>
      <c r="AF603" s="16"/>
      <c r="AL603" s="16"/>
      <c r="AQ603" s="16"/>
      <c r="AR603" s="16"/>
    </row>
    <row r="604" spans="27:59">
      <c r="AC604" s="18" t="s">
        <v>367</v>
      </c>
      <c r="AD604" s="18" t="s">
        <v>189</v>
      </c>
      <c r="AL604" s="16"/>
    </row>
    <row r="605" spans="27:59">
      <c r="AC605" s="5" t="s">
        <v>368</v>
      </c>
      <c r="AD605" s="5" t="s">
        <v>369</v>
      </c>
      <c r="AL605" s="16"/>
    </row>
    <row r="606" spans="27:59">
      <c r="AC606" s="5" t="s">
        <v>370</v>
      </c>
      <c r="AD606" s="5" t="s">
        <v>371</v>
      </c>
    </row>
    <row r="607" spans="27:59">
      <c r="AC607" s="5" t="s">
        <v>372</v>
      </c>
      <c r="AD607" s="5" t="s">
        <v>373</v>
      </c>
    </row>
    <row r="608" spans="27:59">
      <c r="AC608" s="5" t="s">
        <v>374</v>
      </c>
      <c r="AD608" s="5" t="s">
        <v>375</v>
      </c>
    </row>
    <row r="609" spans="29:30">
      <c r="AC609" s="5" t="s">
        <v>376</v>
      </c>
      <c r="AD609" s="5" t="s">
        <v>377</v>
      </c>
    </row>
    <row r="610" spans="29:30">
      <c r="AC610" s="5" t="s">
        <v>378</v>
      </c>
      <c r="AD610" s="5" t="s">
        <v>379</v>
      </c>
    </row>
    <row r="611" spans="29:30">
      <c r="AC611" s="5" t="s">
        <v>380</v>
      </c>
      <c r="AD611" s="5" t="s">
        <v>381</v>
      </c>
    </row>
    <row r="612" spans="29:30">
      <c r="AC612" s="5" t="s">
        <v>382</v>
      </c>
      <c r="AD612" s="5" t="s">
        <v>383</v>
      </c>
    </row>
    <row r="613" spans="29:30">
      <c r="AC613" s="5" t="s">
        <v>384</v>
      </c>
      <c r="AD613" s="5" t="s">
        <v>385</v>
      </c>
    </row>
    <row r="614" spans="29:30">
      <c r="AC614" s="5" t="s">
        <v>386</v>
      </c>
      <c r="AD614" s="5" t="s">
        <v>387</v>
      </c>
    </row>
    <row r="615" spans="29:30">
      <c r="AC615" s="5" t="s">
        <v>388</v>
      </c>
      <c r="AD615" s="5" t="s">
        <v>389</v>
      </c>
    </row>
    <row r="616" spans="29:30">
      <c r="AC616" s="5" t="s">
        <v>390</v>
      </c>
      <c r="AD616" s="5" t="s">
        <v>391</v>
      </c>
    </row>
    <row r="617" spans="29:30">
      <c r="AC617" s="5" t="s">
        <v>392</v>
      </c>
      <c r="AD617" s="5" t="s">
        <v>393</v>
      </c>
    </row>
    <row r="618" spans="29:30">
      <c r="AC618" s="5" t="s">
        <v>394</v>
      </c>
      <c r="AD618" s="5" t="s">
        <v>395</v>
      </c>
    </row>
    <row r="619" spans="29:30">
      <c r="AC619" s="5" t="s">
        <v>396</v>
      </c>
      <c r="AD619" s="5" t="s">
        <v>133</v>
      </c>
    </row>
    <row r="620" spans="29:30">
      <c r="AC620" s="5" t="s">
        <v>397</v>
      </c>
      <c r="AD620" s="5" t="s">
        <v>398</v>
      </c>
    </row>
    <row r="621" spans="29:30">
      <c r="AC621" s="5" t="s">
        <v>399</v>
      </c>
      <c r="AD621" s="5" t="s">
        <v>400</v>
      </c>
    </row>
    <row r="622" spans="29:30">
      <c r="AC622" s="5" t="s">
        <v>401</v>
      </c>
      <c r="AD622" s="5" t="s">
        <v>402</v>
      </c>
    </row>
    <row r="623" spans="29:30">
      <c r="AC623" s="5" t="s">
        <v>403</v>
      </c>
      <c r="AD623" s="5" t="s">
        <v>404</v>
      </c>
    </row>
    <row r="624" spans="29:30">
      <c r="AC624" s="5" t="s">
        <v>405</v>
      </c>
      <c r="AD624" s="5" t="s">
        <v>406</v>
      </c>
    </row>
    <row r="625" spans="29:30">
      <c r="AC625" s="5" t="s">
        <v>407</v>
      </c>
      <c r="AD625" s="5" t="s">
        <v>408</v>
      </c>
    </row>
    <row r="626" spans="29:30">
      <c r="AC626" s="5" t="s">
        <v>409</v>
      </c>
      <c r="AD626" s="5" t="s">
        <v>410</v>
      </c>
    </row>
    <row r="627" spans="29:30">
      <c r="AC627" s="5" t="s">
        <v>411</v>
      </c>
      <c r="AD627" s="5" t="s">
        <v>412</v>
      </c>
    </row>
    <row r="628" spans="29:30">
      <c r="AC628" s="5" t="s">
        <v>413</v>
      </c>
      <c r="AD628" s="5" t="s">
        <v>414</v>
      </c>
    </row>
    <row r="629" spans="29:30">
      <c r="AC629" s="5" t="s">
        <v>415</v>
      </c>
      <c r="AD629" s="5" t="s">
        <v>136</v>
      </c>
    </row>
    <row r="630" spans="29:30">
      <c r="AC630" s="5" t="s">
        <v>416</v>
      </c>
      <c r="AD630" s="5" t="s">
        <v>165</v>
      </c>
    </row>
    <row r="631" spans="29:30">
      <c r="AC631" s="5" t="s">
        <v>417</v>
      </c>
      <c r="AD631" s="5" t="s">
        <v>418</v>
      </c>
    </row>
    <row r="632" spans="29:30">
      <c r="AC632" s="5" t="s">
        <v>419</v>
      </c>
      <c r="AD632" s="5" t="s">
        <v>420</v>
      </c>
    </row>
    <row r="633" spans="29:30">
      <c r="AC633" s="5" t="s">
        <v>421</v>
      </c>
      <c r="AD633" s="5" t="s">
        <v>184</v>
      </c>
    </row>
    <row r="634" spans="29:30">
      <c r="AC634" s="5" t="s">
        <v>422</v>
      </c>
      <c r="AD634" s="5" t="s">
        <v>198</v>
      </c>
    </row>
    <row r="635" spans="29:30">
      <c r="AC635" s="5" t="s">
        <v>423</v>
      </c>
      <c r="AD635" s="5" t="s">
        <v>424</v>
      </c>
    </row>
    <row r="636" spans="29:30">
      <c r="AC636" s="5" t="s">
        <v>425</v>
      </c>
      <c r="AD636" s="5" t="s">
        <v>426</v>
      </c>
    </row>
    <row r="637" spans="29:30">
      <c r="AC637" s="5" t="s">
        <v>427</v>
      </c>
      <c r="AD637" s="5" t="s">
        <v>428</v>
      </c>
    </row>
    <row r="638" spans="29:30">
      <c r="AC638" s="5" t="s">
        <v>429</v>
      </c>
      <c r="AD638" s="5" t="s">
        <v>430</v>
      </c>
    </row>
    <row r="639" spans="29:30">
      <c r="AC639" s="5" t="s">
        <v>431</v>
      </c>
      <c r="AD639" s="5" t="s">
        <v>432</v>
      </c>
    </row>
    <row r="640" spans="29:30">
      <c r="AC640" s="5" t="s">
        <v>433</v>
      </c>
      <c r="AD640" s="5" t="s">
        <v>434</v>
      </c>
    </row>
    <row r="641" spans="29:30">
      <c r="AC641" s="5" t="s">
        <v>435</v>
      </c>
      <c r="AD641" s="5" t="s">
        <v>183</v>
      </c>
    </row>
    <row r="642" spans="29:30">
      <c r="AC642" s="5" t="s">
        <v>436</v>
      </c>
      <c r="AD642" s="5" t="s">
        <v>437</v>
      </c>
    </row>
    <row r="643" spans="29:30">
      <c r="AC643" s="5" t="s">
        <v>438</v>
      </c>
      <c r="AD643" s="5" t="s">
        <v>439</v>
      </c>
    </row>
    <row r="644" spans="29:30">
      <c r="AC644" s="5" t="s">
        <v>440</v>
      </c>
      <c r="AD644" s="5" t="s">
        <v>441</v>
      </c>
    </row>
    <row r="645" spans="29:30">
      <c r="AC645" s="5" t="s">
        <v>442</v>
      </c>
      <c r="AD645" s="5" t="s">
        <v>443</v>
      </c>
    </row>
    <row r="646" spans="29:30">
      <c r="AC646" s="5" t="s">
        <v>444</v>
      </c>
      <c r="AD646" s="5" t="s">
        <v>219</v>
      </c>
    </row>
    <row r="647" spans="29:30">
      <c r="AC647" s="5" t="s">
        <v>445</v>
      </c>
      <c r="AD647" s="5" t="s">
        <v>446</v>
      </c>
    </row>
    <row r="648" spans="29:30">
      <c r="AC648" s="5" t="s">
        <v>447</v>
      </c>
      <c r="AD648" s="5" t="s">
        <v>448</v>
      </c>
    </row>
    <row r="649" spans="29:30">
      <c r="AC649" s="5" t="s">
        <v>449</v>
      </c>
      <c r="AD649" s="5" t="s">
        <v>450</v>
      </c>
    </row>
    <row r="650" spans="29:30">
      <c r="AC650" s="5" t="s">
        <v>451</v>
      </c>
      <c r="AD650" s="5" t="s">
        <v>452</v>
      </c>
    </row>
    <row r="651" spans="29:30">
      <c r="AC651" s="5" t="s">
        <v>453</v>
      </c>
      <c r="AD651" s="5" t="s">
        <v>454</v>
      </c>
    </row>
    <row r="652" spans="29:30">
      <c r="AC652" s="5" t="s">
        <v>455</v>
      </c>
      <c r="AD652" s="5" t="s">
        <v>456</v>
      </c>
    </row>
    <row r="653" spans="29:30">
      <c r="AC653" s="5" t="s">
        <v>457</v>
      </c>
      <c r="AD653" s="5" t="s">
        <v>169</v>
      </c>
    </row>
    <row r="654" spans="29:30">
      <c r="AC654" s="5" t="s">
        <v>458</v>
      </c>
      <c r="AD654" s="5" t="s">
        <v>459</v>
      </c>
    </row>
    <row r="655" spans="29:30">
      <c r="AC655" s="5" t="s">
        <v>460</v>
      </c>
      <c r="AD655" s="5" t="s">
        <v>200</v>
      </c>
    </row>
    <row r="656" spans="29:30">
      <c r="AC656" s="5" t="s">
        <v>461</v>
      </c>
      <c r="AD656" s="5" t="s">
        <v>462</v>
      </c>
    </row>
    <row r="657" spans="29:30">
      <c r="AC657" s="5" t="s">
        <v>463</v>
      </c>
      <c r="AD657" s="5" t="s">
        <v>464</v>
      </c>
    </row>
    <row r="658" spans="29:30">
      <c r="AC658" s="5" t="s">
        <v>465</v>
      </c>
      <c r="AD658" s="5" t="s">
        <v>466</v>
      </c>
    </row>
    <row r="659" spans="29:30">
      <c r="AC659" s="5" t="s">
        <v>467</v>
      </c>
      <c r="AD659" s="5" t="s">
        <v>468</v>
      </c>
    </row>
    <row r="660" spans="29:30">
      <c r="AC660" s="5" t="s">
        <v>469</v>
      </c>
      <c r="AD660" s="5" t="s">
        <v>288</v>
      </c>
    </row>
    <row r="661" spans="29:30">
      <c r="AC661" s="5" t="s">
        <v>470</v>
      </c>
      <c r="AD661" s="5" t="s">
        <v>471</v>
      </c>
    </row>
    <row r="662" spans="29:30">
      <c r="AC662" s="5" t="s">
        <v>472</v>
      </c>
      <c r="AD662" s="5" t="s">
        <v>473</v>
      </c>
    </row>
    <row r="663" spans="29:30">
      <c r="AC663" s="5" t="s">
        <v>474</v>
      </c>
      <c r="AD663" s="5" t="s">
        <v>475</v>
      </c>
    </row>
    <row r="664" spans="29:30">
      <c r="AC664" s="5" t="s">
        <v>476</v>
      </c>
      <c r="AD664" s="5" t="s">
        <v>477</v>
      </c>
    </row>
    <row r="665" spans="29:30">
      <c r="AC665" s="5" t="s">
        <v>478</v>
      </c>
      <c r="AD665" s="5" t="s">
        <v>479</v>
      </c>
    </row>
    <row r="666" spans="29:30">
      <c r="AC666" s="5" t="s">
        <v>480</v>
      </c>
      <c r="AD666" s="5" t="s">
        <v>481</v>
      </c>
    </row>
    <row r="667" spans="29:30">
      <c r="AC667" s="5" t="s">
        <v>482</v>
      </c>
      <c r="AD667" s="5" t="s">
        <v>483</v>
      </c>
    </row>
    <row r="668" spans="29:30">
      <c r="AC668" s="5" t="s">
        <v>404</v>
      </c>
      <c r="AD668" s="5" t="s">
        <v>404</v>
      </c>
    </row>
    <row r="669" spans="29:30">
      <c r="AC669" s="5" t="s">
        <v>484</v>
      </c>
      <c r="AD669" s="5" t="s">
        <v>484</v>
      </c>
    </row>
    <row r="670" spans="29:30">
      <c r="AC670" s="5" t="s">
        <v>485</v>
      </c>
      <c r="AD670" s="5" t="s">
        <v>485</v>
      </c>
    </row>
    <row r="671" spans="29:30">
      <c r="AC671" s="5" t="s">
        <v>486</v>
      </c>
      <c r="AD671" s="5" t="s">
        <v>486</v>
      </c>
    </row>
    <row r="672" spans="29:30">
      <c r="AC672" s="5" t="s">
        <v>487</v>
      </c>
      <c r="AD672" s="5" t="s">
        <v>487</v>
      </c>
    </row>
    <row r="673" spans="29:30">
      <c r="AC673" s="5" t="s">
        <v>488</v>
      </c>
      <c r="AD673" s="5" t="s">
        <v>488</v>
      </c>
    </row>
    <row r="674" spans="29:30">
      <c r="AC674" s="5" t="s">
        <v>489</v>
      </c>
      <c r="AD674" s="5" t="s">
        <v>489</v>
      </c>
    </row>
    <row r="675" spans="29:30">
      <c r="AC675" s="5" t="s">
        <v>490</v>
      </c>
      <c r="AD675" s="5" t="s">
        <v>490</v>
      </c>
    </row>
    <row r="676" spans="29:30">
      <c r="AC676" s="5" t="s">
        <v>491</v>
      </c>
      <c r="AD676" s="5" t="s">
        <v>491</v>
      </c>
    </row>
    <row r="677" spans="29:30">
      <c r="AC677" s="5" t="s">
        <v>406</v>
      </c>
      <c r="AD677" s="5" t="s">
        <v>406</v>
      </c>
    </row>
    <row r="678" spans="29:30">
      <c r="AC678" s="5" t="s">
        <v>492</v>
      </c>
      <c r="AD678" s="5" t="s">
        <v>492</v>
      </c>
    </row>
    <row r="679" spans="29:30">
      <c r="AC679" s="5" t="s">
        <v>493</v>
      </c>
      <c r="AD679" s="5" t="s">
        <v>493</v>
      </c>
    </row>
    <row r="680" spans="29:30">
      <c r="AC680" s="5" t="s">
        <v>494</v>
      </c>
      <c r="AD680" s="5" t="s">
        <v>494</v>
      </c>
    </row>
    <row r="681" spans="29:30">
      <c r="AC681" s="5" t="s">
        <v>495</v>
      </c>
      <c r="AD681" s="5" t="s">
        <v>495</v>
      </c>
    </row>
    <row r="682" spans="29:30">
      <c r="AC682" s="5" t="s">
        <v>496</v>
      </c>
      <c r="AD682" s="5" t="s">
        <v>496</v>
      </c>
    </row>
    <row r="683" spans="29:30">
      <c r="AC683" s="5" t="s">
        <v>497</v>
      </c>
      <c r="AD683" s="5" t="s">
        <v>497</v>
      </c>
    </row>
    <row r="684" spans="29:30">
      <c r="AC684" s="5" t="s">
        <v>498</v>
      </c>
      <c r="AD684" s="5" t="s">
        <v>498</v>
      </c>
    </row>
    <row r="685" spans="29:30">
      <c r="AC685" s="5" t="s">
        <v>499</v>
      </c>
      <c r="AD685" s="5" t="s">
        <v>499</v>
      </c>
    </row>
    <row r="686" spans="29:30">
      <c r="AC686" s="5" t="s">
        <v>500</v>
      </c>
      <c r="AD686" s="5" t="s">
        <v>500</v>
      </c>
    </row>
    <row r="687" spans="29:30">
      <c r="AC687" s="5" t="s">
        <v>501</v>
      </c>
      <c r="AD687" s="5" t="s">
        <v>501</v>
      </c>
    </row>
    <row r="688" spans="29:30">
      <c r="AC688" s="5" t="s">
        <v>502</v>
      </c>
      <c r="AD688" s="5" t="s">
        <v>502</v>
      </c>
    </row>
    <row r="689" spans="29:30">
      <c r="AC689" s="5" t="s">
        <v>503</v>
      </c>
      <c r="AD689" s="5" t="s">
        <v>503</v>
      </c>
    </row>
    <row r="690" spans="29:30">
      <c r="AC690" s="5" t="s">
        <v>504</v>
      </c>
      <c r="AD690" s="5" t="s">
        <v>504</v>
      </c>
    </row>
    <row r="691" spans="29:30">
      <c r="AC691" s="5" t="s">
        <v>505</v>
      </c>
      <c r="AD691" s="5" t="s">
        <v>505</v>
      </c>
    </row>
    <row r="692" spans="29:30">
      <c r="AC692" s="5" t="s">
        <v>506</v>
      </c>
      <c r="AD692" s="5" t="s">
        <v>506</v>
      </c>
    </row>
    <row r="693" spans="29:30">
      <c r="AC693" s="5" t="s">
        <v>507</v>
      </c>
      <c r="AD693" s="5" t="s">
        <v>508</v>
      </c>
    </row>
    <row r="694" spans="29:30">
      <c r="AC694" s="5" t="s">
        <v>509</v>
      </c>
      <c r="AD694" s="5" t="s">
        <v>510</v>
      </c>
    </row>
    <row r="695" spans="29:30">
      <c r="AC695" s="5" t="s">
        <v>511</v>
      </c>
      <c r="AD695" s="5" t="s">
        <v>511</v>
      </c>
    </row>
    <row r="696" spans="29:30">
      <c r="AC696" s="5" t="s">
        <v>512</v>
      </c>
      <c r="AD696" s="5" t="s">
        <v>512</v>
      </c>
    </row>
    <row r="697" spans="29:30">
      <c r="AC697" s="5" t="s">
        <v>513</v>
      </c>
      <c r="AD697" s="5" t="s">
        <v>513</v>
      </c>
    </row>
    <row r="698" spans="29:30">
      <c r="AC698" s="5" t="s">
        <v>514</v>
      </c>
      <c r="AD698" s="5" t="s">
        <v>514</v>
      </c>
    </row>
    <row r="699" spans="29:30">
      <c r="AC699" s="5" t="s">
        <v>515</v>
      </c>
      <c r="AD699" s="5" t="s">
        <v>515</v>
      </c>
    </row>
    <row r="700" spans="29:30">
      <c r="AC700" s="5" t="s">
        <v>516</v>
      </c>
      <c r="AD700" s="5" t="s">
        <v>516</v>
      </c>
    </row>
    <row r="701" spans="29:30">
      <c r="AC701" s="5" t="s">
        <v>517</v>
      </c>
      <c r="AD701" s="5" t="s">
        <v>517</v>
      </c>
    </row>
    <row r="702" spans="29:30">
      <c r="AC702" s="5" t="s">
        <v>518</v>
      </c>
      <c r="AD702" s="5" t="s">
        <v>518</v>
      </c>
    </row>
    <row r="703" spans="29:30">
      <c r="AC703" s="5" t="s">
        <v>519</v>
      </c>
      <c r="AD703" s="5" t="s">
        <v>519</v>
      </c>
    </row>
    <row r="704" spans="29:30">
      <c r="AC704" s="5" t="s">
        <v>520</v>
      </c>
      <c r="AD704" s="5" t="s">
        <v>520</v>
      </c>
    </row>
    <row r="705" spans="29:30">
      <c r="AC705" s="5" t="s">
        <v>521</v>
      </c>
      <c r="AD705" s="5" t="s">
        <v>521</v>
      </c>
    </row>
    <row r="706" spans="29:30">
      <c r="AC706" s="5" t="s">
        <v>522</v>
      </c>
      <c r="AD706" s="5" t="s">
        <v>522</v>
      </c>
    </row>
    <row r="707" spans="29:30">
      <c r="AC707" s="5" t="s">
        <v>523</v>
      </c>
      <c r="AD707" s="5" t="s">
        <v>523</v>
      </c>
    </row>
    <row r="708" spans="29:30">
      <c r="AC708" s="5" t="s">
        <v>408</v>
      </c>
      <c r="AD708" s="5" t="s">
        <v>408</v>
      </c>
    </row>
    <row r="709" spans="29:30">
      <c r="AC709" s="5" t="s">
        <v>524</v>
      </c>
      <c r="AD709" s="5" t="s">
        <v>524</v>
      </c>
    </row>
    <row r="710" spans="29:30">
      <c r="AC710" s="5" t="s">
        <v>410</v>
      </c>
      <c r="AD710" s="5" t="s">
        <v>410</v>
      </c>
    </row>
    <row r="711" spans="29:30">
      <c r="AC711" s="5" t="s">
        <v>525</v>
      </c>
      <c r="AD711" s="5" t="s">
        <v>525</v>
      </c>
    </row>
    <row r="712" spans="29:30">
      <c r="AC712" s="5" t="s">
        <v>526</v>
      </c>
      <c r="AD712" s="5" t="s">
        <v>526</v>
      </c>
    </row>
    <row r="713" spans="29:30">
      <c r="AC713" s="5" t="s">
        <v>527</v>
      </c>
      <c r="AD713" s="5" t="s">
        <v>527</v>
      </c>
    </row>
    <row r="714" spans="29:30">
      <c r="AC714" s="5" t="s">
        <v>528</v>
      </c>
      <c r="AD714" s="5" t="s">
        <v>528</v>
      </c>
    </row>
    <row r="715" spans="29:30">
      <c r="AC715" s="5" t="s">
        <v>529</v>
      </c>
      <c r="AD715" s="5" t="s">
        <v>529</v>
      </c>
    </row>
    <row r="716" spans="29:30">
      <c r="AC716" s="5" t="s">
        <v>530</v>
      </c>
      <c r="AD716" s="5" t="s">
        <v>530</v>
      </c>
    </row>
    <row r="717" spans="29:30">
      <c r="AC717" s="5" t="s">
        <v>531</v>
      </c>
      <c r="AD717" s="5" t="s">
        <v>531</v>
      </c>
    </row>
    <row r="718" spans="29:30">
      <c r="AC718" s="5" t="s">
        <v>532</v>
      </c>
      <c r="AD718" s="5" t="s">
        <v>532</v>
      </c>
    </row>
    <row r="719" spans="29:30">
      <c r="AC719" s="5" t="s">
        <v>533</v>
      </c>
      <c r="AD719" s="5" t="s">
        <v>533</v>
      </c>
    </row>
    <row r="720" spans="29:30">
      <c r="AC720" s="5" t="s">
        <v>534</v>
      </c>
      <c r="AD720" s="5" t="s">
        <v>534</v>
      </c>
    </row>
    <row r="721" spans="29:30">
      <c r="AC721" s="5" t="s">
        <v>535</v>
      </c>
      <c r="AD721" s="5" t="s">
        <v>535</v>
      </c>
    </row>
    <row r="722" spans="29:30">
      <c r="AC722" s="5" t="s">
        <v>536</v>
      </c>
      <c r="AD722" s="5" t="s">
        <v>536</v>
      </c>
    </row>
    <row r="723" spans="29:30">
      <c r="AC723" s="5" t="s">
        <v>316</v>
      </c>
      <c r="AD723" s="5" t="s">
        <v>316</v>
      </c>
    </row>
    <row r="724" spans="29:30">
      <c r="AC724" s="5" t="s">
        <v>537</v>
      </c>
      <c r="AD724" s="5" t="s">
        <v>537</v>
      </c>
    </row>
    <row r="725" spans="29:30">
      <c r="AC725" s="5" t="s">
        <v>538</v>
      </c>
      <c r="AD725" s="5" t="s">
        <v>538</v>
      </c>
    </row>
    <row r="726" spans="29:30">
      <c r="AC726" s="5" t="s">
        <v>414</v>
      </c>
      <c r="AD726" s="5" t="s">
        <v>414</v>
      </c>
    </row>
    <row r="727" spans="29:30">
      <c r="AC727" s="5" t="s">
        <v>539</v>
      </c>
      <c r="AD727" s="5" t="s">
        <v>539</v>
      </c>
    </row>
    <row r="728" spans="29:30">
      <c r="AC728" s="5" t="s">
        <v>540</v>
      </c>
      <c r="AD728" s="5" t="s">
        <v>540</v>
      </c>
    </row>
    <row r="729" spans="29:30">
      <c r="AC729" s="5" t="s">
        <v>541</v>
      </c>
      <c r="AD729" s="5" t="s">
        <v>541</v>
      </c>
    </row>
    <row r="730" spans="29:30">
      <c r="AC730" s="5" t="s">
        <v>542</v>
      </c>
      <c r="AD730" s="5" t="s">
        <v>542</v>
      </c>
    </row>
    <row r="731" spans="29:30">
      <c r="AC731" s="5" t="s">
        <v>136</v>
      </c>
      <c r="AD731" s="5" t="s">
        <v>136</v>
      </c>
    </row>
    <row r="732" spans="29:30">
      <c r="AC732" s="5" t="s">
        <v>165</v>
      </c>
      <c r="AD732" s="5" t="s">
        <v>165</v>
      </c>
    </row>
    <row r="733" spans="29:30">
      <c r="AC733" s="5" t="s">
        <v>543</v>
      </c>
      <c r="AD733" s="5" t="s">
        <v>543</v>
      </c>
    </row>
    <row r="734" spans="29:30">
      <c r="AC734" s="5" t="s">
        <v>544</v>
      </c>
      <c r="AD734" s="5" t="s">
        <v>544</v>
      </c>
    </row>
    <row r="735" spans="29:30">
      <c r="AC735" s="5" t="s">
        <v>545</v>
      </c>
      <c r="AD735" s="5" t="s">
        <v>545</v>
      </c>
    </row>
    <row r="736" spans="29:30">
      <c r="AC736" s="5" t="s">
        <v>546</v>
      </c>
      <c r="AD736" s="5" t="s">
        <v>546</v>
      </c>
    </row>
    <row r="737" spans="29:30">
      <c r="AC737" s="5" t="s">
        <v>547</v>
      </c>
      <c r="AD737" s="5" t="s">
        <v>547</v>
      </c>
    </row>
    <row r="738" spans="29:30">
      <c r="AC738" s="5" t="s">
        <v>548</v>
      </c>
      <c r="AD738" s="5" t="s">
        <v>548</v>
      </c>
    </row>
    <row r="739" spans="29:30">
      <c r="AC739" s="5" t="s">
        <v>549</v>
      </c>
      <c r="AD739" s="5" t="s">
        <v>549</v>
      </c>
    </row>
    <row r="740" spans="29:30">
      <c r="AC740" s="5" t="s">
        <v>550</v>
      </c>
      <c r="AD740" s="5" t="s">
        <v>550</v>
      </c>
    </row>
    <row r="741" spans="29:30">
      <c r="AC741" s="5" t="s">
        <v>418</v>
      </c>
      <c r="AD741" s="5" t="s">
        <v>418</v>
      </c>
    </row>
    <row r="742" spans="29:30">
      <c r="AC742" s="5" t="s">
        <v>551</v>
      </c>
      <c r="AD742" s="5" t="s">
        <v>551</v>
      </c>
    </row>
    <row r="743" spans="29:30">
      <c r="AC743" s="5" t="s">
        <v>552</v>
      </c>
      <c r="AD743" s="5" t="s">
        <v>552</v>
      </c>
    </row>
    <row r="744" spans="29:30">
      <c r="AC744" s="5" t="s">
        <v>553</v>
      </c>
      <c r="AD744" s="5" t="s">
        <v>553</v>
      </c>
    </row>
    <row r="745" spans="29:30">
      <c r="AC745" s="5" t="s">
        <v>554</v>
      </c>
      <c r="AD745" s="5" t="s">
        <v>554</v>
      </c>
    </row>
    <row r="746" spans="29:30">
      <c r="AC746" s="5" t="s">
        <v>555</v>
      </c>
      <c r="AD746" s="5" t="s">
        <v>555</v>
      </c>
    </row>
    <row r="747" spans="29:30">
      <c r="AC747" s="5" t="s">
        <v>556</v>
      </c>
      <c r="AD747" s="5" t="s">
        <v>556</v>
      </c>
    </row>
    <row r="748" spans="29:30">
      <c r="AC748" s="5" t="s">
        <v>184</v>
      </c>
      <c r="AD748" s="5" t="s">
        <v>184</v>
      </c>
    </row>
    <row r="749" spans="29:30">
      <c r="AC749" s="5" t="s">
        <v>557</v>
      </c>
      <c r="AD749" s="5" t="s">
        <v>557</v>
      </c>
    </row>
    <row r="750" spans="29:30">
      <c r="AC750" s="5" t="s">
        <v>558</v>
      </c>
      <c r="AD750" s="5" t="s">
        <v>558</v>
      </c>
    </row>
    <row r="751" spans="29:30">
      <c r="AC751" s="5" t="s">
        <v>559</v>
      </c>
      <c r="AD751" s="5" t="s">
        <v>559</v>
      </c>
    </row>
    <row r="752" spans="29:30">
      <c r="AC752" s="5" t="s">
        <v>560</v>
      </c>
      <c r="AD752" s="5" t="s">
        <v>560</v>
      </c>
    </row>
    <row r="753" spans="29:30">
      <c r="AC753" s="5" t="s">
        <v>561</v>
      </c>
      <c r="AD753" s="5" t="s">
        <v>561</v>
      </c>
    </row>
    <row r="754" spans="29:30">
      <c r="AC754" s="5" t="s">
        <v>562</v>
      </c>
      <c r="AD754" s="5" t="s">
        <v>562</v>
      </c>
    </row>
    <row r="755" spans="29:30">
      <c r="AC755" s="5" t="s">
        <v>563</v>
      </c>
      <c r="AD755" s="5" t="s">
        <v>563</v>
      </c>
    </row>
    <row r="756" spans="29:30">
      <c r="AC756" s="5" t="s">
        <v>564</v>
      </c>
      <c r="AD756" s="5" t="s">
        <v>564</v>
      </c>
    </row>
    <row r="757" spans="29:30">
      <c r="AC757" s="5" t="s">
        <v>565</v>
      </c>
      <c r="AD757" s="5" t="s">
        <v>565</v>
      </c>
    </row>
    <row r="758" spans="29:30">
      <c r="AC758" s="5" t="s">
        <v>566</v>
      </c>
      <c r="AD758" s="5" t="s">
        <v>566</v>
      </c>
    </row>
    <row r="759" spans="29:30">
      <c r="AC759" s="5" t="s">
        <v>567</v>
      </c>
      <c r="AD759" s="5" t="s">
        <v>567</v>
      </c>
    </row>
    <row r="760" spans="29:30">
      <c r="AC760" s="5" t="s">
        <v>568</v>
      </c>
      <c r="AD760" s="5" t="s">
        <v>568</v>
      </c>
    </row>
    <row r="761" spans="29:30">
      <c r="AC761" s="5" t="s">
        <v>569</v>
      </c>
      <c r="AD761" s="5" t="s">
        <v>569</v>
      </c>
    </row>
    <row r="762" spans="29:30">
      <c r="AC762" s="5" t="s">
        <v>570</v>
      </c>
      <c r="AD762" s="5" t="s">
        <v>570</v>
      </c>
    </row>
    <row r="763" spans="29:30">
      <c r="AC763" s="5" t="s">
        <v>571</v>
      </c>
      <c r="AD763" s="5" t="s">
        <v>571</v>
      </c>
    </row>
    <row r="764" spans="29:30">
      <c r="AC764" s="5" t="s">
        <v>572</v>
      </c>
      <c r="AD764" s="5" t="s">
        <v>572</v>
      </c>
    </row>
    <row r="765" spans="29:30">
      <c r="AC765" s="5" t="s">
        <v>573</v>
      </c>
      <c r="AD765" s="5" t="s">
        <v>573</v>
      </c>
    </row>
    <row r="766" spans="29:30">
      <c r="AC766" s="5" t="s">
        <v>574</v>
      </c>
      <c r="AD766" s="5" t="s">
        <v>574</v>
      </c>
    </row>
    <row r="767" spans="29:30">
      <c r="AC767" s="5" t="s">
        <v>575</v>
      </c>
      <c r="AD767" s="5" t="s">
        <v>575</v>
      </c>
    </row>
    <row r="768" spans="29:30">
      <c r="AC768" s="5" t="s">
        <v>576</v>
      </c>
      <c r="AD768" s="13" t="s">
        <v>576</v>
      </c>
    </row>
    <row r="769" spans="29:30">
      <c r="AC769" s="5" t="s">
        <v>198</v>
      </c>
      <c r="AD769" s="5" t="s">
        <v>198</v>
      </c>
    </row>
    <row r="770" spans="29:30">
      <c r="AC770" s="5" t="s">
        <v>577</v>
      </c>
      <c r="AD770" s="5" t="s">
        <v>577</v>
      </c>
    </row>
    <row r="771" spans="29:30">
      <c r="AC771" s="5" t="s">
        <v>424</v>
      </c>
      <c r="AD771" s="5" t="s">
        <v>424</v>
      </c>
    </row>
    <row r="772" spans="29:30">
      <c r="AC772" s="5" t="s">
        <v>578</v>
      </c>
      <c r="AD772" s="5" t="s">
        <v>578</v>
      </c>
    </row>
    <row r="773" spans="29:30">
      <c r="AC773" s="5" t="s">
        <v>150</v>
      </c>
      <c r="AD773" s="5" t="s">
        <v>150</v>
      </c>
    </row>
    <row r="774" spans="29:30">
      <c r="AC774" s="5" t="s">
        <v>428</v>
      </c>
      <c r="AD774" s="5" t="s">
        <v>428</v>
      </c>
    </row>
    <row r="775" spans="29:30">
      <c r="AC775" s="5" t="s">
        <v>173</v>
      </c>
      <c r="AD775" s="5" t="s">
        <v>173</v>
      </c>
    </row>
    <row r="776" spans="29:30">
      <c r="AC776" s="5" t="s">
        <v>579</v>
      </c>
      <c r="AD776" s="5" t="s">
        <v>579</v>
      </c>
    </row>
    <row r="777" spans="29:30">
      <c r="AC777" s="5" t="s">
        <v>580</v>
      </c>
      <c r="AD777" s="5" t="s">
        <v>580</v>
      </c>
    </row>
    <row r="778" spans="29:30">
      <c r="AC778" s="5" t="s">
        <v>581</v>
      </c>
      <c r="AD778" s="5" t="s">
        <v>581</v>
      </c>
    </row>
    <row r="779" spans="29:30">
      <c r="AC779" s="5" t="s">
        <v>582</v>
      </c>
      <c r="AD779" s="5" t="s">
        <v>582</v>
      </c>
    </row>
    <row r="780" spans="29:30">
      <c r="AC780" s="5" t="s">
        <v>583</v>
      </c>
      <c r="AD780" s="5" t="s">
        <v>583</v>
      </c>
    </row>
    <row r="781" spans="29:30">
      <c r="AC781" s="5" t="s">
        <v>584</v>
      </c>
      <c r="AD781" s="5" t="s">
        <v>584</v>
      </c>
    </row>
    <row r="782" spans="29:30">
      <c r="AC782" s="5" t="s">
        <v>585</v>
      </c>
      <c r="AD782" s="5" t="s">
        <v>585</v>
      </c>
    </row>
    <row r="783" spans="29:30">
      <c r="AC783" s="5" t="s">
        <v>586</v>
      </c>
      <c r="AD783" s="5" t="s">
        <v>586</v>
      </c>
    </row>
    <row r="784" spans="29:30">
      <c r="AC784" s="5" t="s">
        <v>587</v>
      </c>
      <c r="AD784" s="5" t="s">
        <v>587</v>
      </c>
    </row>
    <row r="785" spans="29:30">
      <c r="AC785" s="5" t="s">
        <v>588</v>
      </c>
      <c r="AD785" s="5" t="s">
        <v>588</v>
      </c>
    </row>
    <row r="786" spans="29:30">
      <c r="AC786" s="5" t="s">
        <v>589</v>
      </c>
      <c r="AD786" s="5" t="s">
        <v>589</v>
      </c>
    </row>
    <row r="787" spans="29:30">
      <c r="AC787" s="5" t="s">
        <v>590</v>
      </c>
      <c r="AD787" s="5" t="s">
        <v>590</v>
      </c>
    </row>
    <row r="788" spans="29:30">
      <c r="AC788" s="5" t="s">
        <v>591</v>
      </c>
      <c r="AD788" s="5" t="s">
        <v>591</v>
      </c>
    </row>
    <row r="789" spans="29:30">
      <c r="AC789" s="5" t="s">
        <v>430</v>
      </c>
      <c r="AD789" s="5" t="s">
        <v>430</v>
      </c>
    </row>
    <row r="790" spans="29:30">
      <c r="AC790" s="5" t="s">
        <v>592</v>
      </c>
      <c r="AD790" s="5" t="s">
        <v>592</v>
      </c>
    </row>
    <row r="791" spans="29:30">
      <c r="AC791" s="5" t="s">
        <v>593</v>
      </c>
      <c r="AD791" s="5" t="s">
        <v>593</v>
      </c>
    </row>
    <row r="792" spans="29:30">
      <c r="AC792" s="5" t="s">
        <v>594</v>
      </c>
      <c r="AD792" s="5" t="s">
        <v>594</v>
      </c>
    </row>
    <row r="793" spans="29:30">
      <c r="AC793" s="5" t="s">
        <v>595</v>
      </c>
      <c r="AD793" s="5" t="s">
        <v>595</v>
      </c>
    </row>
    <row r="794" spans="29:30">
      <c r="AC794" s="5" t="s">
        <v>596</v>
      </c>
      <c r="AD794" s="5" t="s">
        <v>596</v>
      </c>
    </row>
    <row r="795" spans="29:30">
      <c r="AC795" s="5" t="s">
        <v>597</v>
      </c>
      <c r="AD795" s="5" t="s">
        <v>597</v>
      </c>
    </row>
    <row r="796" spans="29:30">
      <c r="AC796" s="5" t="s">
        <v>598</v>
      </c>
      <c r="AD796" s="5" t="s">
        <v>598</v>
      </c>
    </row>
    <row r="797" spans="29:30">
      <c r="AC797" s="5" t="s">
        <v>599</v>
      </c>
      <c r="AD797" s="5" t="s">
        <v>599</v>
      </c>
    </row>
    <row r="798" spans="29:30">
      <c r="AC798" s="5" t="s">
        <v>600</v>
      </c>
      <c r="AD798" s="5" t="s">
        <v>600</v>
      </c>
    </row>
    <row r="799" spans="29:30">
      <c r="AC799" s="5" t="s">
        <v>601</v>
      </c>
      <c r="AD799" s="5" t="s">
        <v>601</v>
      </c>
    </row>
    <row r="800" spans="29:30">
      <c r="AC800" s="5" t="s">
        <v>22</v>
      </c>
      <c r="AD800" s="5" t="s">
        <v>22</v>
      </c>
    </row>
    <row r="801" spans="29:30">
      <c r="AC801" s="5" t="s">
        <v>602</v>
      </c>
      <c r="AD801" s="5" t="s">
        <v>602</v>
      </c>
    </row>
    <row r="802" spans="29:30">
      <c r="AC802" s="5" t="s">
        <v>603</v>
      </c>
      <c r="AD802" s="5" t="s">
        <v>603</v>
      </c>
    </row>
    <row r="803" spans="29:30">
      <c r="AC803" s="5" t="s">
        <v>439</v>
      </c>
      <c r="AD803" s="5" t="s">
        <v>439</v>
      </c>
    </row>
    <row r="804" spans="29:30">
      <c r="AC804" s="5" t="s">
        <v>604</v>
      </c>
      <c r="AD804" s="5" t="s">
        <v>604</v>
      </c>
    </row>
    <row r="805" spans="29:30">
      <c r="AC805" s="5" t="s">
        <v>605</v>
      </c>
      <c r="AD805" s="5" t="s">
        <v>605</v>
      </c>
    </row>
    <row r="806" spans="29:30">
      <c r="AC806" s="5" t="s">
        <v>197</v>
      </c>
      <c r="AD806" s="5" t="s">
        <v>197</v>
      </c>
    </row>
    <row r="807" spans="29:30">
      <c r="AC807" s="5" t="s">
        <v>606</v>
      </c>
      <c r="AD807" s="5" t="s">
        <v>606</v>
      </c>
    </row>
    <row r="808" spans="29:30">
      <c r="AC808" s="5" t="s">
        <v>607</v>
      </c>
      <c r="AD808" s="5" t="s">
        <v>607</v>
      </c>
    </row>
    <row r="809" spans="29:30">
      <c r="AC809" s="5" t="s">
        <v>608</v>
      </c>
      <c r="AD809" s="5" t="s">
        <v>608</v>
      </c>
    </row>
    <row r="810" spans="29:30">
      <c r="AC810" s="5" t="s">
        <v>609</v>
      </c>
      <c r="AD810" s="5" t="s">
        <v>609</v>
      </c>
    </row>
    <row r="811" spans="29:30">
      <c r="AC811" s="5" t="s">
        <v>610</v>
      </c>
      <c r="AD811" s="5" t="s">
        <v>610</v>
      </c>
    </row>
    <row r="812" spans="29:30">
      <c r="AC812" s="5" t="s">
        <v>611</v>
      </c>
      <c r="AD812" s="5" t="s">
        <v>611</v>
      </c>
    </row>
    <row r="813" spans="29:30">
      <c r="AC813" s="5" t="s">
        <v>612</v>
      </c>
      <c r="AD813" s="5" t="s">
        <v>612</v>
      </c>
    </row>
    <row r="814" spans="29:30">
      <c r="AC814" s="5" t="s">
        <v>613</v>
      </c>
      <c r="AD814" s="5" t="s">
        <v>613</v>
      </c>
    </row>
    <row r="815" spans="29:30">
      <c r="AC815" s="5" t="s">
        <v>614</v>
      </c>
      <c r="AD815" s="5" t="s">
        <v>614</v>
      </c>
    </row>
    <row r="816" spans="29:30">
      <c r="AC816" s="5" t="s">
        <v>615</v>
      </c>
      <c r="AD816" s="5" t="s">
        <v>615</v>
      </c>
    </row>
    <row r="817" spans="29:30">
      <c r="AC817" s="5" t="s">
        <v>616</v>
      </c>
      <c r="AD817" s="5" t="s">
        <v>616</v>
      </c>
    </row>
    <row r="818" spans="29:30">
      <c r="AC818" s="5" t="s">
        <v>617</v>
      </c>
      <c r="AD818" s="5" t="s">
        <v>617</v>
      </c>
    </row>
    <row r="819" spans="29:30">
      <c r="AC819" s="5" t="s">
        <v>618</v>
      </c>
      <c r="AD819" s="5" t="s">
        <v>618</v>
      </c>
    </row>
    <row r="820" spans="29:30">
      <c r="AC820" s="5" t="s">
        <v>619</v>
      </c>
      <c r="AD820" s="5" t="s">
        <v>619</v>
      </c>
    </row>
    <row r="821" spans="29:30">
      <c r="AC821" s="5" t="s">
        <v>620</v>
      </c>
      <c r="AD821" s="5" t="s">
        <v>620</v>
      </c>
    </row>
    <row r="822" spans="29:30">
      <c r="AC822" s="5" t="s">
        <v>621</v>
      </c>
      <c r="AD822" s="5" t="s">
        <v>621</v>
      </c>
    </row>
    <row r="823" spans="29:30">
      <c r="AC823" s="5" t="s">
        <v>622</v>
      </c>
      <c r="AD823" s="5" t="s">
        <v>622</v>
      </c>
    </row>
    <row r="824" spans="29:30">
      <c r="AC824" s="5" t="s">
        <v>623</v>
      </c>
      <c r="AD824" s="5" t="s">
        <v>623</v>
      </c>
    </row>
    <row r="825" spans="29:30">
      <c r="AC825" s="5" t="s">
        <v>624</v>
      </c>
      <c r="AD825" s="5" t="s">
        <v>624</v>
      </c>
    </row>
    <row r="826" spans="29:30">
      <c r="AC826" s="5" t="s">
        <v>625</v>
      </c>
      <c r="AD826" s="5" t="s">
        <v>625</v>
      </c>
    </row>
    <row r="827" spans="29:30">
      <c r="AC827" s="5" t="s">
        <v>626</v>
      </c>
      <c r="AD827" s="5" t="s">
        <v>626</v>
      </c>
    </row>
    <row r="828" spans="29:30">
      <c r="AC828" s="5" t="s">
        <v>627</v>
      </c>
      <c r="AD828" s="5" t="s">
        <v>627</v>
      </c>
    </row>
    <row r="829" spans="29:30">
      <c r="AC829" s="5" t="s">
        <v>628</v>
      </c>
      <c r="AD829" s="5" t="s">
        <v>628</v>
      </c>
    </row>
    <row r="830" spans="29:30">
      <c r="AC830" s="5" t="s">
        <v>629</v>
      </c>
      <c r="AD830" s="5" t="s">
        <v>629</v>
      </c>
    </row>
    <row r="831" spans="29:30">
      <c r="AC831" s="5" t="s">
        <v>630</v>
      </c>
      <c r="AD831" s="5" t="s">
        <v>630</v>
      </c>
    </row>
    <row r="832" spans="29:30">
      <c r="AC832" s="5" t="s">
        <v>441</v>
      </c>
      <c r="AD832" s="5" t="s">
        <v>441</v>
      </c>
    </row>
    <row r="833" spans="29:30">
      <c r="AC833" s="5" t="s">
        <v>631</v>
      </c>
      <c r="AD833" s="5" t="s">
        <v>631</v>
      </c>
    </row>
    <row r="834" spans="29:30">
      <c r="AC834" s="5" t="s">
        <v>216</v>
      </c>
      <c r="AD834" s="5" t="s">
        <v>216</v>
      </c>
    </row>
    <row r="835" spans="29:30">
      <c r="AC835" s="5" t="s">
        <v>632</v>
      </c>
      <c r="AD835" s="5" t="s">
        <v>632</v>
      </c>
    </row>
    <row r="836" spans="29:30">
      <c r="AC836" s="5" t="s">
        <v>633</v>
      </c>
      <c r="AD836" s="5" t="s">
        <v>633</v>
      </c>
    </row>
    <row r="837" spans="29:30">
      <c r="AC837" s="5" t="s">
        <v>634</v>
      </c>
      <c r="AD837" s="5" t="s">
        <v>634</v>
      </c>
    </row>
    <row r="838" spans="29:30">
      <c r="AC838" s="5" t="s">
        <v>635</v>
      </c>
      <c r="AD838" s="5" t="s">
        <v>635</v>
      </c>
    </row>
    <row r="839" spans="29:30">
      <c r="AC839" s="5" t="s">
        <v>636</v>
      </c>
      <c r="AD839" s="5" t="s">
        <v>636</v>
      </c>
    </row>
    <row r="840" spans="29:30">
      <c r="AC840" s="5" t="s">
        <v>219</v>
      </c>
      <c r="AD840" s="5" t="s">
        <v>219</v>
      </c>
    </row>
    <row r="841" spans="29:30">
      <c r="AC841" s="5" t="s">
        <v>637</v>
      </c>
      <c r="AD841" s="5" t="s">
        <v>637</v>
      </c>
    </row>
    <row r="842" spans="29:30">
      <c r="AC842" s="5" t="s">
        <v>638</v>
      </c>
      <c r="AD842" s="5" t="s">
        <v>638</v>
      </c>
    </row>
    <row r="843" spans="29:30">
      <c r="AC843" s="5" t="s">
        <v>639</v>
      </c>
      <c r="AD843" s="13" t="s">
        <v>639</v>
      </c>
    </row>
    <row r="844" spans="29:30">
      <c r="AC844" s="5" t="s">
        <v>640</v>
      </c>
      <c r="AD844" s="5" t="s">
        <v>640</v>
      </c>
    </row>
    <row r="845" spans="29:30">
      <c r="AC845" s="5" t="s">
        <v>641</v>
      </c>
      <c r="AD845" s="5" t="s">
        <v>641</v>
      </c>
    </row>
    <row r="846" spans="29:30">
      <c r="AC846" s="5" t="s">
        <v>642</v>
      </c>
      <c r="AD846" s="5" t="s">
        <v>642</v>
      </c>
    </row>
    <row r="847" spans="29:30">
      <c r="AC847" s="5" t="s">
        <v>643</v>
      </c>
      <c r="AD847" s="5" t="s">
        <v>643</v>
      </c>
    </row>
    <row r="848" spans="29:30">
      <c r="AC848" s="5" t="s">
        <v>644</v>
      </c>
      <c r="AD848" s="5" t="s">
        <v>644</v>
      </c>
    </row>
    <row r="849" spans="29:30">
      <c r="AC849" s="5" t="s">
        <v>450</v>
      </c>
      <c r="AD849" s="5" t="s">
        <v>450</v>
      </c>
    </row>
    <row r="850" spans="29:30">
      <c r="AC850" s="5" t="s">
        <v>645</v>
      </c>
      <c r="AD850" s="5" t="s">
        <v>645</v>
      </c>
    </row>
    <row r="851" spans="29:30">
      <c r="AC851" s="5" t="s">
        <v>646</v>
      </c>
      <c r="AD851" s="5" t="s">
        <v>646</v>
      </c>
    </row>
    <row r="852" spans="29:30">
      <c r="AC852" s="5" t="s">
        <v>647</v>
      </c>
      <c r="AD852" s="5" t="s">
        <v>647</v>
      </c>
    </row>
    <row r="853" spans="29:30">
      <c r="AC853" s="5" t="s">
        <v>648</v>
      </c>
      <c r="AD853" s="5" t="s">
        <v>648</v>
      </c>
    </row>
    <row r="854" spans="29:30">
      <c r="AC854" s="5" t="s">
        <v>649</v>
      </c>
      <c r="AD854" s="5" t="s">
        <v>649</v>
      </c>
    </row>
    <row r="855" spans="29:30">
      <c r="AC855" s="5" t="s">
        <v>650</v>
      </c>
      <c r="AD855" s="5" t="s">
        <v>650</v>
      </c>
    </row>
    <row r="856" spans="29:30">
      <c r="AC856" s="5" t="s">
        <v>651</v>
      </c>
      <c r="AD856" s="5" t="s">
        <v>651</v>
      </c>
    </row>
    <row r="857" spans="29:30">
      <c r="AC857" s="5" t="s">
        <v>652</v>
      </c>
      <c r="AD857" s="5" t="s">
        <v>652</v>
      </c>
    </row>
    <row r="858" spans="29:30">
      <c r="AC858" s="5" t="s">
        <v>452</v>
      </c>
      <c r="AD858" s="5" t="s">
        <v>452</v>
      </c>
    </row>
    <row r="859" spans="29:30">
      <c r="AC859" s="5" t="s">
        <v>653</v>
      </c>
      <c r="AD859" s="5" t="s">
        <v>653</v>
      </c>
    </row>
    <row r="860" spans="29:30">
      <c r="AC860" s="5" t="s">
        <v>654</v>
      </c>
      <c r="AD860" s="5" t="s">
        <v>654</v>
      </c>
    </row>
    <row r="861" spans="29:30">
      <c r="AC861" s="5" t="s">
        <v>655</v>
      </c>
      <c r="AD861" s="5" t="s">
        <v>655</v>
      </c>
    </row>
    <row r="862" spans="29:30">
      <c r="AC862" s="5" t="s">
        <v>656</v>
      </c>
      <c r="AD862" s="5" t="s">
        <v>656</v>
      </c>
    </row>
    <row r="863" spans="29:30">
      <c r="AC863" s="5" t="s">
        <v>657</v>
      </c>
      <c r="AD863" s="5" t="s">
        <v>657</v>
      </c>
    </row>
    <row r="864" spans="29:30">
      <c r="AC864" s="5" t="s">
        <v>658</v>
      </c>
      <c r="AD864" s="5" t="s">
        <v>658</v>
      </c>
    </row>
    <row r="865" spans="29:30">
      <c r="AC865" s="5" t="s">
        <v>659</v>
      </c>
      <c r="AD865" s="5" t="s">
        <v>659</v>
      </c>
    </row>
    <row r="866" spans="29:30">
      <c r="AC866" s="5" t="s">
        <v>660</v>
      </c>
      <c r="AD866" s="5" t="s">
        <v>660</v>
      </c>
    </row>
    <row r="867" spans="29:30">
      <c r="AC867" s="5" t="s">
        <v>661</v>
      </c>
      <c r="AD867" s="5" t="s">
        <v>661</v>
      </c>
    </row>
    <row r="868" spans="29:30">
      <c r="AC868" s="5" t="s">
        <v>662</v>
      </c>
      <c r="AD868" s="5" t="s">
        <v>662</v>
      </c>
    </row>
    <row r="869" spans="29:30">
      <c r="AC869" s="5" t="s">
        <v>663</v>
      </c>
      <c r="AD869" s="5" t="s">
        <v>663</v>
      </c>
    </row>
    <row r="870" spans="29:30">
      <c r="AC870" s="5" t="s">
        <v>664</v>
      </c>
      <c r="AD870" s="5" t="s">
        <v>664</v>
      </c>
    </row>
    <row r="871" spans="29:30">
      <c r="AC871" s="5" t="s">
        <v>665</v>
      </c>
      <c r="AD871" s="5" t="s">
        <v>665</v>
      </c>
    </row>
    <row r="872" spans="29:30">
      <c r="AC872" s="5" t="s">
        <v>666</v>
      </c>
      <c r="AD872" s="5" t="s">
        <v>666</v>
      </c>
    </row>
    <row r="873" spans="29:30">
      <c r="AC873" s="5" t="s">
        <v>667</v>
      </c>
      <c r="AD873" s="5" t="s">
        <v>667</v>
      </c>
    </row>
    <row r="874" spans="29:30">
      <c r="AC874" s="5" t="s">
        <v>668</v>
      </c>
      <c r="AD874" s="5" t="s">
        <v>668</v>
      </c>
    </row>
    <row r="875" spans="29:30">
      <c r="AC875" s="5" t="s">
        <v>669</v>
      </c>
      <c r="AD875" s="5" t="s">
        <v>669</v>
      </c>
    </row>
    <row r="876" spans="29:30">
      <c r="AC876" s="5" t="s">
        <v>456</v>
      </c>
      <c r="AD876" s="5" t="s">
        <v>456</v>
      </c>
    </row>
    <row r="877" spans="29:30">
      <c r="AC877" s="5" t="s">
        <v>670</v>
      </c>
      <c r="AD877" s="5" t="s">
        <v>670</v>
      </c>
    </row>
    <row r="878" spans="29:30">
      <c r="AC878" s="5" t="s">
        <v>169</v>
      </c>
      <c r="AD878" s="5" t="s">
        <v>169</v>
      </c>
    </row>
    <row r="879" spans="29:30">
      <c r="AC879" s="5" t="s">
        <v>671</v>
      </c>
      <c r="AD879" s="5" t="s">
        <v>671</v>
      </c>
    </row>
    <row r="880" spans="29:30">
      <c r="AC880" s="5" t="s">
        <v>459</v>
      </c>
      <c r="AD880" s="5" t="s">
        <v>459</v>
      </c>
    </row>
    <row r="881" spans="29:30">
      <c r="AC881" s="5" t="s">
        <v>672</v>
      </c>
      <c r="AD881" s="5" t="s">
        <v>672</v>
      </c>
    </row>
    <row r="882" spans="29:30">
      <c r="AC882" s="5" t="s">
        <v>673</v>
      </c>
      <c r="AD882" s="5" t="s">
        <v>673</v>
      </c>
    </row>
    <row r="883" spans="29:30">
      <c r="AC883" s="5" t="s">
        <v>674</v>
      </c>
      <c r="AD883" s="5" t="s">
        <v>674</v>
      </c>
    </row>
    <row r="884" spans="29:30">
      <c r="AC884" s="5" t="s">
        <v>200</v>
      </c>
      <c r="AD884" s="5" t="s">
        <v>200</v>
      </c>
    </row>
    <row r="885" spans="29:30">
      <c r="AC885" s="5" t="s">
        <v>675</v>
      </c>
      <c r="AD885" s="5" t="s">
        <v>675</v>
      </c>
    </row>
    <row r="886" spans="29:30">
      <c r="AC886" s="5" t="s">
        <v>676</v>
      </c>
      <c r="AD886" s="5" t="s">
        <v>676</v>
      </c>
    </row>
    <row r="887" spans="29:30">
      <c r="AC887" s="5" t="s">
        <v>677</v>
      </c>
      <c r="AD887" s="5" t="s">
        <v>677</v>
      </c>
    </row>
    <row r="888" spans="29:30">
      <c r="AC888" s="5" t="s">
        <v>462</v>
      </c>
      <c r="AD888" s="5" t="s">
        <v>462</v>
      </c>
    </row>
    <row r="889" spans="29:30">
      <c r="AC889" s="5" t="s">
        <v>678</v>
      </c>
      <c r="AD889" s="5" t="s">
        <v>678</v>
      </c>
    </row>
    <row r="890" spans="29:30">
      <c r="AC890" s="5" t="s">
        <v>679</v>
      </c>
      <c r="AD890" s="5" t="s">
        <v>679</v>
      </c>
    </row>
    <row r="891" spans="29:30">
      <c r="AC891" s="5" t="s">
        <v>680</v>
      </c>
      <c r="AD891" s="5" t="s">
        <v>680</v>
      </c>
    </row>
    <row r="892" spans="29:30">
      <c r="AC892" s="5" t="s">
        <v>203</v>
      </c>
      <c r="AD892" s="5" t="s">
        <v>203</v>
      </c>
    </row>
    <row r="893" spans="29:30">
      <c r="AC893" s="5" t="s">
        <v>681</v>
      </c>
      <c r="AD893" s="5" t="s">
        <v>681</v>
      </c>
    </row>
    <row r="894" spans="29:30">
      <c r="AC894" s="5" t="s">
        <v>682</v>
      </c>
      <c r="AD894" s="5" t="s">
        <v>682</v>
      </c>
    </row>
    <row r="895" spans="29:30">
      <c r="AC895" s="5" t="s">
        <v>153</v>
      </c>
      <c r="AD895" s="5" t="s">
        <v>153</v>
      </c>
    </row>
    <row r="896" spans="29:30">
      <c r="AC896" s="5" t="s">
        <v>683</v>
      </c>
      <c r="AD896" s="5" t="s">
        <v>683</v>
      </c>
    </row>
    <row r="897" spans="29:30">
      <c r="AC897" s="5" t="s">
        <v>684</v>
      </c>
      <c r="AD897" s="5" t="s">
        <v>684</v>
      </c>
    </row>
    <row r="898" spans="29:30">
      <c r="AC898" s="5" t="s">
        <v>468</v>
      </c>
      <c r="AD898" s="5" t="s">
        <v>468</v>
      </c>
    </row>
    <row r="899" spans="29:30">
      <c r="AC899" s="5" t="s">
        <v>685</v>
      </c>
      <c r="AD899" s="5" t="s">
        <v>685</v>
      </c>
    </row>
    <row r="900" spans="29:30">
      <c r="AC900" s="5" t="s">
        <v>686</v>
      </c>
      <c r="AD900" s="5" t="s">
        <v>686</v>
      </c>
    </row>
    <row r="901" spans="29:30">
      <c r="AC901" s="5" t="s">
        <v>687</v>
      </c>
      <c r="AD901" s="5" t="s">
        <v>687</v>
      </c>
    </row>
    <row r="902" spans="29:30">
      <c r="AC902" s="5" t="s">
        <v>288</v>
      </c>
      <c r="AD902" s="5" t="s">
        <v>288</v>
      </c>
    </row>
    <row r="903" spans="29:30">
      <c r="AC903" s="5" t="s">
        <v>688</v>
      </c>
      <c r="AD903" s="5" t="s">
        <v>688</v>
      </c>
    </row>
    <row r="904" spans="29:30">
      <c r="AC904" s="5" t="s">
        <v>689</v>
      </c>
      <c r="AD904" s="5" t="s">
        <v>689</v>
      </c>
    </row>
    <row r="905" spans="29:30">
      <c r="AC905" s="5" t="s">
        <v>690</v>
      </c>
      <c r="AD905" s="5" t="s">
        <v>690</v>
      </c>
    </row>
    <row r="906" spans="29:30">
      <c r="AC906" s="5" t="s">
        <v>691</v>
      </c>
      <c r="AD906" s="5" t="s">
        <v>691</v>
      </c>
    </row>
    <row r="907" spans="29:30">
      <c r="AC907" s="5" t="s">
        <v>473</v>
      </c>
      <c r="AD907" s="5" t="s">
        <v>473</v>
      </c>
    </row>
    <row r="908" spans="29:30">
      <c r="AC908" s="5" t="s">
        <v>692</v>
      </c>
      <c r="AD908" s="5" t="s">
        <v>692</v>
      </c>
    </row>
    <row r="909" spans="29:30">
      <c r="AC909" s="5" t="s">
        <v>693</v>
      </c>
      <c r="AD909" s="5" t="s">
        <v>693</v>
      </c>
    </row>
    <row r="910" spans="29:30">
      <c r="AC910" s="5" t="s">
        <v>694</v>
      </c>
      <c r="AD910" s="5" t="s">
        <v>694</v>
      </c>
    </row>
    <row r="911" spans="29:30">
      <c r="AC911" s="5" t="s">
        <v>695</v>
      </c>
      <c r="AD911" s="5" t="s">
        <v>695</v>
      </c>
    </row>
    <row r="912" spans="29:30">
      <c r="AC912" s="5" t="s">
        <v>696</v>
      </c>
      <c r="AD912" s="5" t="s">
        <v>696</v>
      </c>
    </row>
    <row r="913" spans="29:30">
      <c r="AC913" s="5" t="s">
        <v>697</v>
      </c>
      <c r="AD913" s="5" t="s">
        <v>697</v>
      </c>
    </row>
    <row r="914" spans="29:30">
      <c r="AC914" s="5" t="s">
        <v>698</v>
      </c>
      <c r="AD914" s="5" t="s">
        <v>698</v>
      </c>
    </row>
    <row r="915" spans="29:30">
      <c r="AC915" s="5" t="s">
        <v>699</v>
      </c>
      <c r="AD915" s="5" t="s">
        <v>699</v>
      </c>
    </row>
    <row r="916" spans="29:30">
      <c r="AC916" s="5" t="s">
        <v>7</v>
      </c>
      <c r="AD916" s="5" t="s">
        <v>7</v>
      </c>
    </row>
    <row r="917" spans="29:30">
      <c r="AC917" s="5" t="s">
        <v>477</v>
      </c>
      <c r="AD917" s="5" t="s">
        <v>477</v>
      </c>
    </row>
    <row r="918" spans="29:30">
      <c r="AC918" s="5" t="s">
        <v>700</v>
      </c>
      <c r="AD918" s="13" t="s">
        <v>700</v>
      </c>
    </row>
    <row r="919" spans="29:30">
      <c r="AC919" s="5" t="s">
        <v>701</v>
      </c>
      <c r="AD919" s="5" t="s">
        <v>701</v>
      </c>
    </row>
    <row r="920" spans="29:30">
      <c r="AC920" s="5" t="s">
        <v>702</v>
      </c>
      <c r="AD920" s="5" t="s">
        <v>702</v>
      </c>
    </row>
    <row r="921" spans="29:30">
      <c r="AC921" s="5" t="s">
        <v>479</v>
      </c>
      <c r="AD921" s="5" t="s">
        <v>479</v>
      </c>
    </row>
    <row r="922" spans="29:30">
      <c r="AC922" s="5" t="s">
        <v>213</v>
      </c>
      <c r="AD922" s="5" t="s">
        <v>213</v>
      </c>
    </row>
    <row r="923" spans="29:30">
      <c r="AC923" s="5" t="s">
        <v>703</v>
      </c>
      <c r="AD923" s="5" t="s">
        <v>703</v>
      </c>
    </row>
    <row r="924" spans="29:30">
      <c r="AC924" s="5" t="s">
        <v>704</v>
      </c>
      <c r="AD924" s="5" t="s">
        <v>704</v>
      </c>
    </row>
    <row r="925" spans="29:30">
      <c r="AC925" s="5" t="s">
        <v>705</v>
      </c>
      <c r="AD925" s="5" t="s">
        <v>705</v>
      </c>
    </row>
    <row r="926" spans="29:30">
      <c r="AC926" s="5" t="s">
        <v>706</v>
      </c>
      <c r="AD926" s="5" t="s">
        <v>706</v>
      </c>
    </row>
    <row r="927" spans="29:30">
      <c r="AC927" s="5" t="s">
        <v>707</v>
      </c>
      <c r="AD927" s="5" t="s">
        <v>707</v>
      </c>
    </row>
    <row r="928" spans="29:30">
      <c r="AC928" s="5" t="s">
        <v>225</v>
      </c>
      <c r="AD928" s="5" t="s">
        <v>225</v>
      </c>
    </row>
    <row r="929" spans="29:30">
      <c r="AC929" s="5" t="s">
        <v>708</v>
      </c>
      <c r="AD929" s="5" t="s">
        <v>708</v>
      </c>
    </row>
    <row r="930" spans="29:30">
      <c r="AC930" s="5" t="s">
        <v>709</v>
      </c>
      <c r="AD930" s="5" t="s">
        <v>709</v>
      </c>
    </row>
    <row r="931" spans="29:30">
      <c r="AC931" s="5" t="s">
        <v>710</v>
      </c>
      <c r="AD931" s="5" t="s">
        <v>710</v>
      </c>
    </row>
    <row r="932" spans="29:30">
      <c r="AC932" s="5" t="s">
        <v>711</v>
      </c>
      <c r="AD932" s="5" t="s">
        <v>711</v>
      </c>
    </row>
    <row r="933" spans="29:30">
      <c r="AC933" s="5" t="s">
        <v>712</v>
      </c>
      <c r="AD933" s="5" t="s">
        <v>712</v>
      </c>
    </row>
    <row r="934" spans="29:30">
      <c r="AC934" s="5" t="s">
        <v>713</v>
      </c>
      <c r="AD934" s="5" t="s">
        <v>713</v>
      </c>
    </row>
    <row r="935" spans="29:30">
      <c r="AC935" s="5" t="s">
        <v>714</v>
      </c>
      <c r="AD935" s="5" t="s">
        <v>714</v>
      </c>
    </row>
    <row r="936" spans="29:30">
      <c r="AC936" s="5" t="s">
        <v>715</v>
      </c>
      <c r="AD936" s="5" t="s">
        <v>715</v>
      </c>
    </row>
    <row r="937" spans="29:30">
      <c r="AC937" s="5" t="s">
        <v>716</v>
      </c>
      <c r="AD937" s="13" t="s">
        <v>716</v>
      </c>
    </row>
    <row r="938" spans="29:30">
      <c r="AC938" s="5" t="s">
        <v>717</v>
      </c>
      <c r="AD938" s="5" t="s">
        <v>717</v>
      </c>
    </row>
    <row r="939" spans="29:30">
      <c r="AC939" s="5" t="s">
        <v>718</v>
      </c>
      <c r="AD939" s="5" t="s">
        <v>718</v>
      </c>
    </row>
    <row r="940" spans="29:30">
      <c r="AC940" s="5" t="s">
        <v>719</v>
      </c>
      <c r="AD940" s="5" t="s">
        <v>719</v>
      </c>
    </row>
    <row r="941" spans="29:30">
      <c r="AC941" s="5" t="s">
        <v>720</v>
      </c>
      <c r="AD941" s="5" t="s">
        <v>720</v>
      </c>
    </row>
    <row r="942" spans="29:30">
      <c r="AC942" s="5" t="s">
        <v>721</v>
      </c>
      <c r="AD942" s="5" t="s">
        <v>721</v>
      </c>
    </row>
    <row r="943" spans="29:30">
      <c r="AC943" s="5" t="s">
        <v>722</v>
      </c>
      <c r="AD943" s="5" t="s">
        <v>722</v>
      </c>
    </row>
    <row r="944" spans="29:30">
      <c r="AC944" s="5" t="s">
        <v>723</v>
      </c>
      <c r="AD944" s="5" t="s">
        <v>723</v>
      </c>
    </row>
    <row r="945" spans="29:30">
      <c r="AC945" s="5" t="s">
        <v>724</v>
      </c>
      <c r="AD945" s="5" t="s">
        <v>724</v>
      </c>
    </row>
    <row r="946" spans="29:30">
      <c r="AC946" s="5" t="s">
        <v>725</v>
      </c>
      <c r="AD946" s="5" t="s">
        <v>725</v>
      </c>
    </row>
    <row r="947" spans="29:30">
      <c r="AC947" s="5" t="s">
        <v>726</v>
      </c>
      <c r="AD947" s="5" t="s">
        <v>726</v>
      </c>
    </row>
    <row r="948" spans="29:30">
      <c r="AC948" s="5" t="s">
        <v>727</v>
      </c>
      <c r="AD948" s="5" t="s">
        <v>727</v>
      </c>
    </row>
    <row r="949" spans="29:30">
      <c r="AC949" s="5" t="s">
        <v>231</v>
      </c>
      <c r="AD949" s="5" t="s">
        <v>231</v>
      </c>
    </row>
    <row r="950" spans="29:30">
      <c r="AC950" s="5" t="s">
        <v>728</v>
      </c>
      <c r="AD950" s="5" t="s">
        <v>728</v>
      </c>
    </row>
    <row r="951" spans="29:30">
      <c r="AC951" s="5" t="s">
        <v>729</v>
      </c>
      <c r="AD951" s="5" t="s">
        <v>729</v>
      </c>
    </row>
    <row r="952" spans="29:30">
      <c r="AC952" s="5" t="s">
        <v>730</v>
      </c>
      <c r="AD952" s="5" t="s">
        <v>730</v>
      </c>
    </row>
    <row r="953" spans="29:30">
      <c r="AC953" s="5" t="s">
        <v>731</v>
      </c>
      <c r="AD953" s="5" t="s">
        <v>731</v>
      </c>
    </row>
    <row r="954" spans="29:30">
      <c r="AC954" s="5" t="s">
        <v>732</v>
      </c>
      <c r="AD954" s="5" t="s">
        <v>732</v>
      </c>
    </row>
    <row r="955" spans="29:30">
      <c r="AC955" s="5" t="s">
        <v>733</v>
      </c>
      <c r="AD955" s="13" t="s">
        <v>733</v>
      </c>
    </row>
    <row r="956" spans="29:30">
      <c r="AC956" s="5" t="s">
        <v>734</v>
      </c>
      <c r="AD956" s="5" t="s">
        <v>734</v>
      </c>
    </row>
    <row r="957" spans="29:30">
      <c r="AC957" s="5" t="s">
        <v>735</v>
      </c>
      <c r="AD957" s="5" t="s">
        <v>735</v>
      </c>
    </row>
    <row r="958" spans="29:30">
      <c r="AC958" s="5" t="s">
        <v>483</v>
      </c>
      <c r="AD958" s="5" t="s">
        <v>483</v>
      </c>
    </row>
    <row r="959" spans="29:30">
      <c r="AC959" s="5" t="s">
        <v>736</v>
      </c>
      <c r="AD959" s="5" t="s">
        <v>736</v>
      </c>
    </row>
  </sheetData>
  <sheetProtection algorithmName="SHA-512" hashValue="r9d+BdZkO9XK5MRzMEtIcRmGQZxNaiWEbpAhI9NyfpG1HEbGgqLJaw1XTx0utPvNiWMeGkbex/LPq21SlNRQEg==" saltValue="6B5lZRJDeTA2fY9Q4Wl7vA==" spinCount="100000" sheet="1" objects="1" scenarios="1" insertRows="0" deleteRows="0" sort="0" autoFilter="0"/>
  <mergeCells count="93">
    <mergeCell ref="M100:W100"/>
    <mergeCell ref="M101:W101"/>
    <mergeCell ref="M102:W102"/>
    <mergeCell ref="M103:W103"/>
    <mergeCell ref="M95:W95"/>
    <mergeCell ref="M96:W96"/>
    <mergeCell ref="M97:W97"/>
    <mergeCell ref="M98:W98"/>
    <mergeCell ref="M99:W99"/>
    <mergeCell ref="M90:W90"/>
    <mergeCell ref="M91:W91"/>
    <mergeCell ref="M92:W92"/>
    <mergeCell ref="M93:W93"/>
    <mergeCell ref="M94:W94"/>
    <mergeCell ref="M85:W85"/>
    <mergeCell ref="M86:W86"/>
    <mergeCell ref="M87:W87"/>
    <mergeCell ref="M88:W88"/>
    <mergeCell ref="M89:W89"/>
    <mergeCell ref="M80:W80"/>
    <mergeCell ref="M81:W81"/>
    <mergeCell ref="M82:W82"/>
    <mergeCell ref="M83:W83"/>
    <mergeCell ref="M84:W84"/>
    <mergeCell ref="M75:W75"/>
    <mergeCell ref="M76:W76"/>
    <mergeCell ref="M77:W77"/>
    <mergeCell ref="M78:W78"/>
    <mergeCell ref="M79:W79"/>
    <mergeCell ref="M70:W70"/>
    <mergeCell ref="M71:W71"/>
    <mergeCell ref="M72:W72"/>
    <mergeCell ref="M73:W73"/>
    <mergeCell ref="M74:W74"/>
    <mergeCell ref="M65:W65"/>
    <mergeCell ref="M66:W66"/>
    <mergeCell ref="M67:W67"/>
    <mergeCell ref="M68:W68"/>
    <mergeCell ref="M69:W69"/>
    <mergeCell ref="M60:W60"/>
    <mergeCell ref="M61:W61"/>
    <mergeCell ref="M62:W62"/>
    <mergeCell ref="M63:W63"/>
    <mergeCell ref="M64:W64"/>
    <mergeCell ref="M55:W55"/>
    <mergeCell ref="M56:W56"/>
    <mergeCell ref="M57:W57"/>
    <mergeCell ref="M58:W58"/>
    <mergeCell ref="M59:W59"/>
    <mergeCell ref="M50:W50"/>
    <mergeCell ref="M51:W51"/>
    <mergeCell ref="M52:W52"/>
    <mergeCell ref="M53:W53"/>
    <mergeCell ref="M54:W54"/>
    <mergeCell ref="M45:W45"/>
    <mergeCell ref="M46:W46"/>
    <mergeCell ref="M47:W47"/>
    <mergeCell ref="M48:W48"/>
    <mergeCell ref="M49:W49"/>
    <mergeCell ref="M40:W40"/>
    <mergeCell ref="M41:W41"/>
    <mergeCell ref="M42:W42"/>
    <mergeCell ref="M43:W43"/>
    <mergeCell ref="M44:W44"/>
    <mergeCell ref="M35:W35"/>
    <mergeCell ref="M36:W36"/>
    <mergeCell ref="M37:W37"/>
    <mergeCell ref="M38:W38"/>
    <mergeCell ref="M39:W39"/>
    <mergeCell ref="M30:W30"/>
    <mergeCell ref="M31:W31"/>
    <mergeCell ref="M32:W32"/>
    <mergeCell ref="M33:W33"/>
    <mergeCell ref="M34:W34"/>
    <mergeCell ref="M25:W25"/>
    <mergeCell ref="M26:W26"/>
    <mergeCell ref="M27:W27"/>
    <mergeCell ref="M28:W28"/>
    <mergeCell ref="M29:W29"/>
    <mergeCell ref="M20:W20"/>
    <mergeCell ref="M21:W21"/>
    <mergeCell ref="M22:W22"/>
    <mergeCell ref="M23:W23"/>
    <mergeCell ref="M24:W24"/>
    <mergeCell ref="M19:W19"/>
    <mergeCell ref="B8:J8"/>
    <mergeCell ref="A1:L1"/>
    <mergeCell ref="B3:H3"/>
    <mergeCell ref="B4:H4"/>
    <mergeCell ref="D6:J6"/>
    <mergeCell ref="N14:P14"/>
    <mergeCell ref="M1:X8"/>
    <mergeCell ref="M9:X9"/>
  </mergeCells>
  <conditionalFormatting sqref="A11 C11 E11">
    <cfRule type="expression" dxfId="142" priority="36">
      <formula>$A$11="TL1"</formula>
    </cfRule>
  </conditionalFormatting>
  <conditionalFormatting sqref="A18">
    <cfRule type="expression" dxfId="141" priority="62">
      <formula>A18&lt;&gt;B18</formula>
    </cfRule>
  </conditionalFormatting>
  <conditionalFormatting sqref="A21:B21 A23:B29 A30:A31 A32:B103">
    <cfRule type="expression" dxfId="140" priority="340">
      <formula>AND($A21&lt;&gt;"",$B21&lt;&gt;"",OR(COUNTIFS($A$21:$A$103,$A21,$B$21:$B$103,"&lt;&gt;"&amp;$B21)&gt;0,COUNTIFS($B$21:$B$103,$B21,$A$21:$A$103,"&lt;&gt;"&amp;$A21)&gt;0))</formula>
    </cfRule>
  </conditionalFormatting>
  <conditionalFormatting sqref="A21:J21">
    <cfRule type="expression" dxfId="139" priority="189">
      <formula>AND($J$12="Update",$L20="Remove")</formula>
    </cfRule>
    <cfRule type="expression" dxfId="138" priority="190">
      <formula>AND($J$12="Update",$L20="Modify")</formula>
    </cfRule>
    <cfRule type="expression" dxfId="137" priority="191">
      <formula>AND($J$12="Update",$L20="Add")</formula>
    </cfRule>
    <cfRule type="expression" dxfId="136" priority="192">
      <formula>AND($J$12="Update",LEN($A21)&gt;=1)</formula>
    </cfRule>
  </conditionalFormatting>
  <conditionalFormatting sqref="A23:J29 A30:A31 C30:J31 A32:J34">
    <cfRule type="expression" dxfId="135" priority="494">
      <formula>AND($J$12="Update",LEN($A23)&gt;=1)</formula>
    </cfRule>
    <cfRule type="expression" dxfId="134" priority="493">
      <formula>AND($J$12="Update",$L21="Add")</formula>
    </cfRule>
    <cfRule type="expression" dxfId="133" priority="492">
      <formula>AND($J$12="Update",$L21="Modify")</formula>
    </cfRule>
  </conditionalFormatting>
  <conditionalFormatting sqref="A23:J29 C30:J31 A32:J34 A30:A31">
    <cfRule type="expression" dxfId="132" priority="491">
      <formula>AND($J$12="Update",$L21="Remove")</formula>
    </cfRule>
  </conditionalFormatting>
  <conditionalFormatting sqref="A35:K103 A21:J21 A23:J29 C30:J31 A32:J34 A30:A31 K31:K34">
    <cfRule type="expression" dxfId="131" priority="99">
      <formula>AND($A21&lt;&gt;"", ISEVEN($A21))</formula>
    </cfRule>
  </conditionalFormatting>
  <conditionalFormatting sqref="A1:L1">
    <cfRule type="expression" dxfId="130" priority="16">
      <formula>OR($F$10="Stage 1",ISBLANK($F$10))</formula>
    </cfRule>
    <cfRule type="expression" dxfId="129" priority="20">
      <formula>$F$10="Stage 2"</formula>
    </cfRule>
    <cfRule type="expression" dxfId="128" priority="30">
      <formula>$F$10="On Going"</formula>
    </cfRule>
    <cfRule type="expression" dxfId="127" priority="25">
      <formula>$F$10="Stage 3"</formula>
    </cfRule>
  </conditionalFormatting>
  <conditionalFormatting sqref="A35:L103 L22:L34">
    <cfRule type="expression" dxfId="126" priority="64">
      <formula>AND($J$12="Update",$L22="Remove")</formula>
    </cfRule>
  </conditionalFormatting>
  <conditionalFormatting sqref="B12">
    <cfRule type="expression" dxfId="125" priority="4">
      <formula>OR(AND($F$10="Stage 1", $B$12&gt;180), AND($F$10="Stage 2", $B$12&gt;300), AND($F$10="Stage 3", $B$12&gt;480))</formula>
    </cfRule>
  </conditionalFormatting>
  <conditionalFormatting sqref="B18">
    <cfRule type="expression" dxfId="124" priority="61">
      <formula>B18&lt;&gt;A18</formula>
    </cfRule>
  </conditionalFormatting>
  <conditionalFormatting sqref="B21 B23:B29 B32:B103">
    <cfRule type="expression" dxfId="123" priority="37">
      <formula>AND(NOT(ISBLANK($B21)), OR(LEN($B21)&lt;4, LEN($B21)&gt;100))</formula>
    </cfRule>
  </conditionalFormatting>
  <conditionalFormatting sqref="B3:H3">
    <cfRule type="expression" dxfId="122" priority="42">
      <formula>$F$10="Stage 2"</formula>
    </cfRule>
    <cfRule type="expression" dxfId="121" priority="43">
      <formula>$F$10="Stage 3"</formula>
    </cfRule>
    <cfRule type="expression" dxfId="120" priority="47">
      <formula>$F$10="On Going"</formula>
    </cfRule>
    <cfRule type="expression" dxfId="119" priority="58">
      <formula>LEN(B3)&gt;100</formula>
    </cfRule>
  </conditionalFormatting>
  <conditionalFormatting sqref="C6">
    <cfRule type="expression" dxfId="118" priority="27">
      <formula>AND($B$6="Manual",$F$10="On Going")</formula>
    </cfRule>
    <cfRule type="expression" dxfId="117" priority="22">
      <formula>AND($B$6="Manual",$F$10="Stage 3")</formula>
    </cfRule>
    <cfRule type="expression" dxfId="116" priority="32">
      <formula>AND($B$6="Manual",OR($F$10="Stage 1",ISBLANK($F$10)))</formula>
    </cfRule>
    <cfRule type="expression" dxfId="115" priority="17">
      <formula>AND($B$6="Manual",$F$10="Stage 2")</formula>
    </cfRule>
  </conditionalFormatting>
  <conditionalFormatting sqref="C16">
    <cfRule type="expression" dxfId="114" priority="28">
      <formula>AND($B$16="Yes",$F$10="On Going")</formula>
    </cfRule>
    <cfRule type="expression" dxfId="113" priority="23">
      <formula>AND($B$16="Yes",$F$10="Stage 3")</formula>
    </cfRule>
    <cfRule type="expression" dxfId="112" priority="18">
      <formula>AND($B$16="Yes",$F$10="Stage 2")</formula>
    </cfRule>
    <cfRule type="expression" dxfId="111" priority="31">
      <formula>AND($B$16="Yes",OR($F$10="Stage 1",ISBLANK($F$10)))</formula>
    </cfRule>
  </conditionalFormatting>
  <conditionalFormatting sqref="C18:K18">
    <cfRule type="expression" dxfId="110" priority="60">
      <formula>COUNTIF($C$18:$K$18, $C$18)&lt;&gt;COLUMNS($C$18:$K$18)</formula>
    </cfRule>
  </conditionalFormatting>
  <conditionalFormatting sqref="D6 B21 F21 H21 B23:B29 F23:F103 H23:H103 B32:B103">
    <cfRule type="containsText" dxfId="109" priority="9" operator="containsText" text="presales">
      <formula>NOT(ISERROR(SEARCH("presales",B6)))</formula>
    </cfRule>
    <cfRule type="containsText" dxfId="108" priority="8" operator="containsText" text="SDWAN">
      <formula>NOT(ISERROR(SEARCH("SDWAN",B6)))</formula>
    </cfRule>
  </conditionalFormatting>
  <conditionalFormatting sqref="D16">
    <cfRule type="expression" dxfId="107" priority="3">
      <formula>AND($B$16="Yes", $D$16="")</formula>
    </cfRule>
  </conditionalFormatting>
  <conditionalFormatting sqref="D16:I16">
    <cfRule type="expression" dxfId="106" priority="41">
      <formula>$B$16="Yes"</formula>
    </cfRule>
  </conditionalFormatting>
  <conditionalFormatting sqref="D6:J6">
    <cfRule type="expression" dxfId="105" priority="69">
      <formula>B6="Manual"</formula>
    </cfRule>
  </conditionalFormatting>
  <conditionalFormatting sqref="F14">
    <cfRule type="expression" dxfId="104" priority="72">
      <formula>LEFT(F14, FIND("/", F14)-1) &lt;&gt; MID(F14, FIND("/", F14)+1, LEN(F14))</formula>
    </cfRule>
  </conditionalFormatting>
  <conditionalFormatting sqref="F21 F23:F29 F32:F103">
    <cfRule type="duplicateValues" dxfId="103" priority="586"/>
  </conditionalFormatting>
  <conditionalFormatting sqref="F21">
    <cfRule type="expression" dxfId="102" priority="587">
      <formula>AND(NOT(ISBLANK($F21)), OR(LEN($F21)&lt;4, LEN($F21)&gt;100))</formula>
    </cfRule>
  </conditionalFormatting>
  <conditionalFormatting sqref="F23:F103">
    <cfRule type="expression" dxfId="101" priority="169">
      <formula>AND(NOT(ISBLANK($F23)), OR(LEN($F23)&lt;4, LEN($F23)&gt;100))</formula>
    </cfRule>
  </conditionalFormatting>
  <conditionalFormatting sqref="F30:F31">
    <cfRule type="expression" dxfId="100" priority="386">
      <formula>AND($A30&lt;&gt;"",$F30&lt;&gt;"",OR(COUNTIFS($A$21:$A$103,$A30,$B$21:$B$103,"&lt;&gt;"&amp;$F30)&gt;0,COUNTIFS($B$21:$B$103,$F30,$A$21:$A$103,"&lt;&gt;"&amp;$A30)&gt;0))</formula>
    </cfRule>
  </conditionalFormatting>
  <conditionalFormatting sqref="G21 G23:G103">
    <cfRule type="expression" dxfId="99" priority="5">
      <formula>$G21&gt;30</formula>
    </cfRule>
    <cfRule type="expression" dxfId="98" priority="34">
      <formula>AND(OR($E21="Doc", $E21="PDF", $E21="PPT"),$G21&gt;10)</formula>
    </cfRule>
  </conditionalFormatting>
  <conditionalFormatting sqref="H14">
    <cfRule type="expression" dxfId="97" priority="68">
      <formula>LEN(G14)&gt;2</formula>
    </cfRule>
  </conditionalFormatting>
  <conditionalFormatting sqref="H21 H23:H103 K35:K103">
    <cfRule type="expression" dxfId="96" priority="52">
      <formula>$E21="Assessment"</formula>
    </cfRule>
  </conditionalFormatting>
  <conditionalFormatting sqref="H21 H23:H103">
    <cfRule type="expression" priority="63">
      <formula>AND(NOT(ISBLANK($H21)), OR(LEN($H21)&lt;4, LEN($H21)&gt;948))</formula>
    </cfRule>
    <cfRule type="expression" dxfId="95" priority="21">
      <formula>AND($J21&lt;&gt;"", $H21&lt;&gt;"", NOT(OR(RIGHT(TRIM($H21),1)=".", RIGHT(TRIM($H21),1)="?", RIGHT(TRIM($H21),1)="!")))</formula>
    </cfRule>
  </conditionalFormatting>
  <conditionalFormatting sqref="H21 J21 H24:H34 J24:J34">
    <cfRule type="expression" dxfId="94" priority="279">
      <formula>ISNUMBER(SEARCH("partnerlearning", $K20))</formula>
    </cfRule>
  </conditionalFormatting>
  <conditionalFormatting sqref="H23 J23">
    <cfRule type="expression" dxfId="93" priority="536">
      <formula>ISNUMBER(SEARCH("partnerlearning", $K21))</formula>
    </cfRule>
  </conditionalFormatting>
  <conditionalFormatting sqref="H35:H103 J35:J103">
    <cfRule type="expression" dxfId="92" priority="48">
      <formula>ISNUMBER(SEARCH("partnerlearning", $K35))</formula>
    </cfRule>
  </conditionalFormatting>
  <conditionalFormatting sqref="J21">
    <cfRule type="expression" dxfId="91" priority="382">
      <formula>AND($E21="video", ISERROR(SEARCH("partnerlearning", $K20)), $J21&lt;&gt;"", NOT(OR(RIGHT($J21,4)=".mp4", RIGHT($J21,4)=".mkv", RIGHT($J21,4)=".avi", RIGHT($J21,4)=".mov", RIGHT($J21,4)=".wmv", RIGHT($J21,4)=".flv")))</formula>
    </cfRule>
    <cfRule type="expression" dxfId="90" priority="381">
      <formula>AND($E21="Doc", ISERROR(SEARCH("partnerlearning", $K20)), $J21&lt;&gt;"", NOT(OR(RIGHT($J21,4)=".doc", RIGHT($J21,5)=".docx")))</formula>
    </cfRule>
    <cfRule type="expression" dxfId="89" priority="380">
      <formula>AND($E21="PDF", ISERROR(SEARCH("partnerlearning", $K20)), $J21&lt;&gt;"", NOT(RIGHT($J21,4)=".pdf"))</formula>
    </cfRule>
    <cfRule type="expression" dxfId="88" priority="379">
      <formula>AND($E21="PPT", ISERROR(SEARCH("partnerlearning", $K20)), $J21&lt;&gt;"", NOT(OR(RIGHT($J21,4)=".ppt", RIGHT($J21,5)=".pptx")))</formula>
    </cfRule>
    <cfRule type="expression" dxfId="87" priority="378">
      <formula>AND($E21="SCORM", ISERROR(SEARCH("partnerlearning", $K20)), $J21&lt;&gt;"", NOT(RIGHT($J21,4)=".zip"))</formula>
    </cfRule>
    <cfRule type="expression" dxfId="86" priority="377">
      <formula>AND($E21="Assessment", $J21&lt;&gt;"", NOT(RIGHT($J21,5)=".xlsx"))</formula>
    </cfRule>
    <cfRule type="expression" dxfId="85" priority="376">
      <formula>$E21="HTML"</formula>
    </cfRule>
    <cfRule type="duplicateValues" dxfId="84" priority="375" stopIfTrue="1"/>
  </conditionalFormatting>
  <conditionalFormatting sqref="J23">
    <cfRule type="duplicateValues" dxfId="83" priority="545" stopIfTrue="1"/>
    <cfRule type="expression" dxfId="82" priority="550">
      <formula>AND($E23="PDF", ISERROR(SEARCH("partnerlearning", $K21)), $J23&lt;&gt;"", NOT(RIGHT($J23,4)=".pdf"))</formula>
    </cfRule>
    <cfRule type="expression" dxfId="81" priority="546">
      <formula>$E23="HTML"</formula>
    </cfRule>
    <cfRule type="expression" dxfId="80" priority="547">
      <formula>AND($E23="Assessment", $J23&lt;&gt;"", NOT(RIGHT($J23,5)=".xlsx"))</formula>
    </cfRule>
    <cfRule type="expression" dxfId="79" priority="548">
      <formula>AND($E23="SCORM", ISERROR(SEARCH("partnerlearning", $K21)), $J23&lt;&gt;"", NOT(RIGHT($J23,4)=".zip"))</formula>
    </cfRule>
    <cfRule type="expression" dxfId="78" priority="549">
      <formula>AND($E23="PPT", ISERROR(SEARCH("partnerlearning", $K21)), $J23&lt;&gt;"", NOT(OR(RIGHT($J23,4)=".ppt", RIGHT($J23,5)=".pptx")))</formula>
    </cfRule>
    <cfRule type="expression" dxfId="77" priority="552">
      <formula>AND($E23="video", ISERROR(SEARCH("partnerlearning", $K21)), $J23&lt;&gt;"", NOT(OR(RIGHT($J23,4)=".mp4", RIGHT($J23,4)=".mkv", RIGHT($J23,4)=".avi", RIGHT($J23,4)=".mov", RIGHT($J23,4)=".wmv", RIGHT($J23,4)=".flv")))</formula>
    </cfRule>
    <cfRule type="expression" dxfId="76" priority="551">
      <formula>AND($E23="Doc", ISERROR(SEARCH("partnerlearning", $K21)), $J23&lt;&gt;"", NOT(OR(RIGHT($J23,4)=".doc", RIGHT($J23,5)=".docx")))</formula>
    </cfRule>
  </conditionalFormatting>
  <conditionalFormatting sqref="J24:J34">
    <cfRule type="expression" dxfId="75" priority="555">
      <formula>AND($E24="Assessment", $J24&lt;&gt;"", NOT(RIGHT($J24,5)=".xlsx"))</formula>
    </cfRule>
    <cfRule type="expression" dxfId="74" priority="559">
      <formula>AND($E24="Doc", ISERROR(SEARCH("partnerlearning", $K23)), $J24&lt;&gt;"", NOT(OR(RIGHT($J24,4)=".doc", RIGHT($J24,5)=".docx")))</formula>
    </cfRule>
    <cfRule type="expression" dxfId="73" priority="560">
      <formula>AND($E24="video", ISERROR(SEARCH("partnerlearning", $K23)), $J24&lt;&gt;"", NOT(OR(RIGHT($J24,4)=".mp4", RIGHT($J24,4)=".mkv", RIGHT($J24,4)=".avi", RIGHT($J24,4)=".mov", RIGHT($J24,4)=".wmv", RIGHT($J24,4)=".flv")))</formula>
    </cfRule>
    <cfRule type="expression" dxfId="72" priority="557">
      <formula>AND($E24="PPT", ISERROR(SEARCH("partnerlearning", $K23)), $J24&lt;&gt;"", NOT(OR(RIGHT($J24,4)=".ppt", RIGHT($J24,5)=".pptx")))</formula>
    </cfRule>
    <cfRule type="duplicateValues" dxfId="71" priority="553" stopIfTrue="1"/>
    <cfRule type="expression" dxfId="70" priority="554">
      <formula>$E24="HTML"</formula>
    </cfRule>
    <cfRule type="expression" dxfId="69" priority="558">
      <formula>AND($E24="PDF", ISERROR(SEARCH("partnerlearning", $K23)), $J24&lt;&gt;"", NOT(RIGHT($J24,4)=".pdf"))</formula>
    </cfRule>
    <cfRule type="expression" dxfId="68" priority="556">
      <formula>AND($E24="SCORM", ISERROR(SEARCH("partnerlearning", $K23)), $J24&lt;&gt;"", NOT(RIGHT($J24,4)=".zip"))</formula>
    </cfRule>
  </conditionalFormatting>
  <conditionalFormatting sqref="J35:J103">
    <cfRule type="duplicateValues" dxfId="67" priority="577" stopIfTrue="1"/>
    <cfRule type="expression" dxfId="66" priority="578">
      <formula>$E35="HTML"</formula>
    </cfRule>
    <cfRule type="expression" dxfId="65" priority="580">
      <formula>AND($E35="SCORM", ISERROR(SEARCH("partnerlearning", $K35)), $J35&lt;&gt;"", NOT(RIGHT($J35,4)=".zip"))</formula>
    </cfRule>
    <cfRule type="expression" dxfId="64" priority="581">
      <formula>AND($E35="PPT", ISERROR(SEARCH("partnerlearning", $K35)), $J35&lt;&gt;"", NOT(OR(RIGHT($J35,4)=".ppt", RIGHT($J35,5)=".pptx")))</formula>
    </cfRule>
    <cfRule type="expression" dxfId="63" priority="582">
      <formula>AND($E35="PDF", ISERROR(SEARCH("partnerlearning", $K35)), $J35&lt;&gt;"", NOT(RIGHT($J35,4)=".pdf"))</formula>
    </cfRule>
    <cfRule type="expression" dxfId="62" priority="583">
      <formula>AND($E35="Doc", ISERROR(SEARCH("partnerlearning", $K35)), $J35&lt;&gt;"", NOT(OR(RIGHT($J35,4)=".doc", RIGHT($J35,5)=".docx")))</formula>
    </cfRule>
    <cfRule type="expression" dxfId="61" priority="584">
      <formula>AND($E35="video", ISERROR(SEARCH("partnerlearning", $K35)), $J35&lt;&gt;"", NOT(OR(RIGHT($J35,4)=".mp4", RIGHT($J35,4)=".mkv", RIGHT($J35,4)=".avi", RIGHT($J35,4)=".mov", RIGHT($J35,4)=".wmv", RIGHT($J35,4)=".flv")))</formula>
    </cfRule>
    <cfRule type="expression" dxfId="60" priority="579">
      <formula>AND($E35="Assessment", $J35&lt;&gt;"", NOT(RIGHT($J35,5)=".xlsx"))</formula>
    </cfRule>
  </conditionalFormatting>
  <conditionalFormatting sqref="K20 K23:K30">
    <cfRule type="expression" dxfId="59" priority="179">
      <formula>AND($A21&lt;&gt;"", ISEVEN($A21))</formula>
    </cfRule>
  </conditionalFormatting>
  <conditionalFormatting sqref="K20 K23:K33">
    <cfRule type="expression" dxfId="58" priority="291">
      <formula>$E21="Assessment"</formula>
    </cfRule>
    <cfRule type="expression" dxfId="57" priority="337">
      <formula>ISNUMBER(FIND(".", $J21))</formula>
    </cfRule>
  </conditionalFormatting>
  <conditionalFormatting sqref="K21">
    <cfRule type="expression" dxfId="56" priority="486">
      <formula>AND($A23&lt;&gt;"", ISEVEN($A23))</formula>
    </cfRule>
    <cfRule type="expression" dxfId="55" priority="568">
      <formula>ISNUMBER(FIND(".", $J23))</formula>
    </cfRule>
    <cfRule type="expression" dxfId="54" priority="567">
      <formula>AND(ISNUMBER(SEARCH("partnerlearning", $K21)), NOT(AND(ISNUMBER(SEARCH("partnerlearning.cisco.com", $K21)), ISNUMBER(SEARCH("loid", $K21)), ISNUMBER(SEARCH("topicid", $K21)), ISNUMBER(SEARCH("series", $K21)))))</formula>
    </cfRule>
    <cfRule type="expression" dxfId="53" priority="544">
      <formula>$E23="Assessment"</formula>
    </cfRule>
  </conditionalFormatting>
  <conditionalFormatting sqref="K23:K33">
    <cfRule type="expression" dxfId="52" priority="518">
      <formula>AND($J$12="Update",LEN($A24)&gt;=1)</formula>
    </cfRule>
  </conditionalFormatting>
  <conditionalFormatting sqref="K23:K34 K20">
    <cfRule type="expression" dxfId="51" priority="336">
      <formula>AND(ISNUMBER(SEARCH("partnerlearning", $K20)), NOT(AND(ISNUMBER(SEARCH("partnerlearning.cisco.com", $K20)), ISNUMBER(SEARCH("loid", $K20)), ISNUMBER(SEARCH("topicid", $K20)), ISNUMBER(SEARCH("series", $K20)))))</formula>
    </cfRule>
  </conditionalFormatting>
  <conditionalFormatting sqref="K23:K34">
    <cfRule type="expression" dxfId="50" priority="515">
      <formula>AND($J$12="Update",$L22="Remove")</formula>
    </cfRule>
    <cfRule type="expression" dxfId="49" priority="516">
      <formula>AND($J$12="Update",$L22="Modify")</formula>
    </cfRule>
    <cfRule type="expression" dxfId="48" priority="517">
      <formula>AND($J$12="Update",$L22="Add")</formula>
    </cfRule>
  </conditionalFormatting>
  <conditionalFormatting sqref="K34">
    <cfRule type="expression" dxfId="47" priority="534">
      <formula>AND($J$12="Update",LEN(#REF!)&gt;=1)</formula>
    </cfRule>
    <cfRule type="expression" dxfId="46" priority="292">
      <formula>#REF!="Assessment"</formula>
    </cfRule>
    <cfRule type="expression" dxfId="45" priority="339">
      <formula>ISNUMBER(FIND(".", #REF!))</formula>
    </cfRule>
  </conditionalFormatting>
  <conditionalFormatting sqref="K35:K103">
    <cfRule type="expression" dxfId="44" priority="51">
      <formula>ISNUMBER(FIND(".", $J35))</formula>
    </cfRule>
    <cfRule type="expression" dxfId="43" priority="7">
      <formula>AND(ISNUMBER(SEARCH("partnerlearning", $K35)), NOT(AND(ISNUMBER(SEARCH("partnerlearning.cisco.com", $K35)), ISNUMBER(SEARCH("loid", $K35)), ISNUMBER(SEARCH("topicid", $K35)), ISNUMBER(SEARCH("series", $K35)))))</formula>
    </cfRule>
  </conditionalFormatting>
  <conditionalFormatting sqref="K20:L21 L22:L32">
    <cfRule type="expression" dxfId="42" priority="514">
      <formula>AND($J$12="Update",LEN($A22)&gt;=1)</formula>
    </cfRule>
  </conditionalFormatting>
  <conditionalFormatting sqref="K20:L21">
    <cfRule type="expression" dxfId="41" priority="512">
      <formula>AND($J$12="Update",$L20="Modify")</formula>
    </cfRule>
    <cfRule type="expression" dxfId="40" priority="513">
      <formula>AND($J$12="Update",$L20="Add")</formula>
    </cfRule>
    <cfRule type="expression" dxfId="39" priority="511">
      <formula>AND($J$12="Update",$L20="Remove")</formula>
    </cfRule>
  </conditionalFormatting>
  <conditionalFormatting sqref="L19">
    <cfRule type="expression" dxfId="38" priority="29">
      <formula>AND($J$12="Update",$F$10="Stage 3")</formula>
    </cfRule>
    <cfRule type="expression" dxfId="37" priority="24">
      <formula>AND($J$12="Update",$F$10="Stage 2")</formula>
    </cfRule>
    <cfRule type="expression" dxfId="36" priority="19">
      <formula>AND($J$12="Update",$F$10="Stage 1")</formula>
    </cfRule>
    <cfRule type="expression" dxfId="35" priority="33">
      <formula>AND($J$12="Update",$F$10="On Going")</formula>
    </cfRule>
  </conditionalFormatting>
  <conditionalFormatting sqref="L22:L34 A35:L103">
    <cfRule type="expression" dxfId="34" priority="66">
      <formula>AND($J$12="Update",$L22="Add")</formula>
    </cfRule>
    <cfRule type="expression" dxfId="33" priority="65">
      <formula>AND($J$12="Update",$L22="Modify")</formula>
    </cfRule>
  </conditionalFormatting>
  <conditionalFormatting sqref="L33">
    <cfRule type="expression" dxfId="32" priority="216">
      <formula>AND($J$12="Update",LEN(#REF!)&gt;=1)</formula>
    </cfRule>
  </conditionalFormatting>
  <conditionalFormatting sqref="L34 A35:L103">
    <cfRule type="expression" dxfId="31" priority="73">
      <formula>AND($J$12="Update",LEN($A34)&gt;=1)</formula>
    </cfRule>
  </conditionalFormatting>
  <conditionalFormatting sqref="M1 A6 A8 A10 C10 E10 G10 I10 A12 C12 E12 G12 I12 A14 C14 E14 G14 I14 A16 A19:K19 M19:W19">
    <cfRule type="expression" dxfId="30" priority="38">
      <formula>$F$10="Stage 2"</formula>
    </cfRule>
    <cfRule type="expression" dxfId="29" priority="39">
      <formula>$F$10="Stage 3"</formula>
    </cfRule>
    <cfRule type="expression" dxfId="28" priority="40">
      <formula>$F$10="On Going"</formula>
    </cfRule>
  </conditionalFormatting>
  <conditionalFormatting sqref="AD443:AD1048576">
    <cfRule type="duplicateValues" dxfId="27" priority="71"/>
  </conditionalFormatting>
  <conditionalFormatting sqref="BJ2:BJ74">
    <cfRule type="duplicateValues" dxfId="26" priority="135"/>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Order" prompt="Specify the position of this module within the section where it will appear." sqref="D21 D24:D103" xr:uid="{16756DD7-FDD5-40F2-8607-AF8CB83AF7EB}">
      <formula1>1</formula1>
      <formula2>84</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F29:F31 F35:F103 B23:B29 B21 F23:F25 F21 B32:B103" xr:uid="{2B5C9CFF-3D2F-4D94-89A1-7A01ECFCE72E}">
      <formula1>100</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 type="list" allowBlank="1" showInputMessage="1" showErrorMessage="1" sqref="F12" xr:uid="{C26F1E51-B5EF-41FF-B4AF-EF93EA7333DB}">
      <formula1>_xlfn.DROP(_xlfn.TAKE($AR$501:$AR$574,_xlfn.XMATCH(D12,$AQ$501:$AQ$574,0,-1)),_xlfn.XMATCH(D12,$AQ$501:$AQ$574,0)-1)</formula1>
    </dataValidation>
    <dataValidation type="list" allowBlank="1" showInputMessage="1" showErrorMessage="1" sqref="D12" xr:uid="{DD909F9D-9E08-4DDA-9D84-272A5250CF37}">
      <formula1>$AQ$501:$AQ$574</formula1>
    </dataValidation>
    <dataValidation type="whole" allowBlank="1" showInputMessage="1" showErrorMessage="1" promptTitle="Module Duration" prompt="Indicate the time span of this module in minutes." sqref="G21 G23:G103"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21 H23:H103" xr:uid="{479EA571-0D92-4941-9522-0CD7633CB934}">
      <formula1>4</formula1>
      <formula2>947</formula2>
    </dataValidation>
    <dataValidation allowBlank="1" showInputMessage="1" showErrorMessage="1" promptTitle="Module File Name" prompt="Mention the file name of the module, using underscores instead of spaces, and include the proper extension (e.g., Black_Belt_Walk_Me.mp4)." sqref="J21 J23:J103" xr:uid="{418DCAFC-7E53-4772-9575-E1BE951250E0}"/>
    <dataValidation type="whole" allowBlank="1" showInputMessage="1" showErrorMessage="1" promptTitle="Module Duration " prompt="Indicate the time span of this module in minutes." sqref="G21 G23:G103" xr:uid="{0105B294-826F-471D-8201-519D22EEAB70}">
      <formula1>1</formula1>
      <formula2>999</formula2>
    </dataValidation>
    <dataValidation type="list" allowBlank="1" showInputMessage="1" showErrorMessage="1" promptTitle="Mandatory or Optional" prompt="Mention whether this section would be mandatory or optional for users to attend." sqref="C21 C23:C103" xr:uid="{63FC4D12-2F0F-437F-91DC-5B19661DAF6A}">
      <formula1>"Mandatory, Optional"</formula1>
    </dataValidation>
    <dataValidation type="whole" allowBlank="1" showInputMessage="1" showErrorMessage="1" promptTitle="Section order" prompt="Only numerical values are accepted." sqref="A21 A23:A103" xr:uid="{CFEEB097-E7D5-4C72-9E21-64BAE556A6CE}">
      <formula1>1</formula1>
      <formula2>84</formula2>
    </dataValidation>
    <dataValidation type="list" allowBlank="1" showInputMessage="1" showErrorMessage="1" promptTitle="Module Type" prompt="Clarify the kind of module being referred to." sqref="E21 E23:E103" xr:uid="{EC0BD86F-669A-46D3-8BC0-F6EFC4EDB96A}">
      <formula1>$AT$501:$AT$507</formula1>
    </dataValidation>
    <dataValidation type="list" allowBlank="1" showInputMessage="1" showErrorMessage="1" promptTitle="Module Type" prompt="Mention the type of module is being used." sqref="E21 E23:E103" xr:uid="{E37D8A48-9CC3-48FE-B997-BB7B4326B1F3}">
      <formula1>$AT$501:$AT$506</formula1>
    </dataValidation>
    <dataValidation type="list" allowBlank="1" showInputMessage="1" showErrorMessage="1" promptTitle="Module Type" prompt="Mention the tyoe of the module." sqref="E21 E23:E103" xr:uid="{1EC286D7-5D39-4AD1-A178-CE4A60AE7495}">
      <formula1>$AT$501:$AT$507</formula1>
    </dataValidation>
    <dataValidation type="list" allowBlank="1" showInputMessage="1" showErrorMessage="1" sqref="I21 I23:I103" xr:uid="{80EE65DE-9747-4F99-AB44-62FA8C9529BA}">
      <formula1>"Mandatory,Optional"</formula1>
    </dataValidation>
    <dataValidation allowBlank="1" showInputMessage="1" showErrorMessage="1" promptTitle="Module Link" prompt="Only applicable for HTML and Mirror Modules._x000a_For Mirror Modules, provide the link having series ID &amp; module ID." sqref="K20:K21 K23:K103" xr:uid="{6145AF2B-FE71-4140-BB37-6569A0EFD3A7}"/>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pageSetup paperSize="9" orientation="portrait" horizontalDpi="0" verticalDpi="0"/>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12" activePane="bottomLeft" state="frozen"/>
      <selection pane="bottomLeft" activeCell="A46" sqref="A46:F46"/>
      <selection activeCell="E25" sqref="E25"/>
    </sheetView>
  </sheetViews>
  <sheetFormatPr defaultColWidth="8.85546875" defaultRowHeight="15"/>
  <cols>
    <col min="1" max="2" width="20" style="1" customWidth="1"/>
    <col min="3" max="3" width="41.7109375" style="1" customWidth="1"/>
    <col min="4" max="4" width="51" style="1" customWidth="1"/>
    <col min="5" max="5" width="90" style="1" customWidth="1"/>
    <col min="6" max="6" width="53.140625" style="1" customWidth="1"/>
    <col min="7" max="17" width="8.85546875" style="1"/>
    <col min="18" max="18" width="12.140625" style="1" customWidth="1"/>
    <col min="19" max="19" width="19.7109375" style="1" customWidth="1"/>
    <col min="20" max="20" width="15.85546875" style="1" customWidth="1"/>
    <col min="21" max="21" width="19.28515625" style="1" customWidth="1"/>
    <col min="22" max="22" width="17.7109375" style="1" customWidth="1"/>
    <col min="23" max="23" width="12.42578125" style="1" customWidth="1"/>
    <col min="24" max="16384" width="8.85546875" style="1"/>
  </cols>
  <sheetData>
    <row r="1" spans="1:6" ht="27">
      <c r="A1" s="81" t="str">
        <f ca="1">IF(OR(LEN(Series!$B$3)&lt;5,Series!$F$10="Stage 1",Series!$F$10="On Going"),"",_xlfn.CONCAT(Series!$B$3," Submission Guidelines"))</f>
        <v/>
      </c>
      <c r="B1" s="81"/>
      <c r="C1" s="81"/>
      <c r="D1" s="81"/>
      <c r="E1" s="81"/>
      <c r="F1" s="81"/>
    </row>
    <row r="3" spans="1:6" ht="28.35" customHeight="1">
      <c r="A3" s="12" t="str">
        <f ca="1">IF($A$4="Missions",COUNTIF($A$5:$A$9,"*Mission*"),"")</f>
        <v/>
      </c>
      <c r="B3" s="12" t="str">
        <f ca="1">IF($A$4="Missions",COUNTA($B$5:$B$9),"")</f>
        <v/>
      </c>
      <c r="C3" s="12" t="str" cm="1">
        <f t="array" aca="1" ref="C3" ca="1">IF($A$4="Missions",IFERROR(ROWS(_xlfn.UNIQUE(_xlfn._xlws.FILTER($C$5:$C$9, $C$5:$C$9&lt;&gt;""))), 0),"")</f>
        <v/>
      </c>
      <c r="D3" s="12" t="str">
        <f ca="1">IF($A$4="Missions",COUNTA($D$5:$D$9),"")</f>
        <v/>
      </c>
      <c r="E3" s="12" t="str">
        <f ca="1">IF($A$4="Missions",COUNTA($E$5:$E$9),"")</f>
        <v/>
      </c>
      <c r="F3" s="12" t="str" cm="1">
        <f t="array" aca="1" ref="F3" ca="1">IF($A$4="Missions",SUMPRODUCT(
((ISNUMBER(SEARCH("CTF",$A$5:$A$9))+ISNUMBER(SEARCH("dCloud",$A$5:$A$9))&gt;0)*($F$5:$F$9&lt;&gt;""))+
((ISNUMBER(SEARCH("CTF",$A$5:$A$9))+ISNUMBER(SEARCH("dCloud",$A$5:$A$9))=0)*($A$5:$A$9&lt;&gt;""))
),"")</f>
        <v/>
      </c>
    </row>
    <row r="4" spans="1:6" ht="28.35" customHeight="1">
      <c r="A4" s="15" t="str">
        <f ca="1">IFERROR(IF(SEARCH("Black Belt",$A$1),"Missions",""),"")</f>
        <v/>
      </c>
      <c r="B4" s="15" t="str">
        <f ca="1">IFERROR(IF($A$4="Missions","Choice",""),"")</f>
        <v/>
      </c>
      <c r="C4" s="15" t="str">
        <f ca="1">IFERROR(IF($A$4="Missions","Mission Title",""),"")</f>
        <v/>
      </c>
      <c r="D4" s="15" t="str">
        <f ca="1">IFERROR(IF($A$4="Missions","Mission Subtitle",""),"")</f>
        <v/>
      </c>
      <c r="E4" s="15" t="str">
        <f ca="1">IFERROR(IF($A$4="Missions","Mission Description",""),"")</f>
        <v/>
      </c>
      <c r="F4" s="15" t="str">
        <f ca="1">IFERROR(IF($A$4="Missions","Link",""),"")</f>
        <v/>
      </c>
    </row>
    <row r="5" spans="1:6" ht="56.45" customHeight="1">
      <c r="A5" s="45"/>
      <c r="B5" s="45"/>
      <c r="C5" s="24"/>
      <c r="D5" s="24"/>
      <c r="E5" s="24"/>
      <c r="F5" s="45"/>
    </row>
    <row r="6" spans="1:6" ht="56.45" customHeight="1">
      <c r="A6" s="45"/>
      <c r="B6" s="45"/>
      <c r="C6" s="24"/>
      <c r="D6" s="24"/>
      <c r="E6" s="24"/>
      <c r="F6" s="45"/>
    </row>
    <row r="7" spans="1:6" ht="56.45" customHeight="1">
      <c r="A7" s="45"/>
      <c r="B7" s="45"/>
      <c r="C7" s="24"/>
      <c r="D7" s="24"/>
      <c r="E7" s="24"/>
      <c r="F7" s="45"/>
    </row>
    <row r="8" spans="1:6" ht="56.45" customHeight="1">
      <c r="A8" s="45"/>
      <c r="B8" s="45"/>
      <c r="C8" s="24"/>
      <c r="D8" s="24"/>
      <c r="E8" s="24"/>
      <c r="F8" s="45"/>
    </row>
    <row r="9" spans="1:6" ht="56.45" customHeight="1">
      <c r="A9" s="45"/>
      <c r="B9" s="45"/>
      <c r="C9" s="24"/>
      <c r="D9" s="24"/>
      <c r="E9" s="24"/>
      <c r="F9" s="45"/>
    </row>
    <row r="10" spans="1:6" ht="28.35" customHeight="1" thickBot="1">
      <c r="A10" s="43"/>
      <c r="B10" s="43"/>
      <c r="C10" s="44"/>
      <c r="D10" s="44"/>
      <c r="E10" s="43"/>
      <c r="F10" s="44"/>
    </row>
    <row r="11" spans="1:6" ht="28.35" customHeight="1" thickTop="1">
      <c r="A11" s="15"/>
      <c r="B11" s="15"/>
      <c r="C11" s="31"/>
      <c r="D11" s="31"/>
      <c r="E11" s="15"/>
      <c r="F11" s="31"/>
    </row>
    <row r="12" spans="1:6" ht="28.35" customHeight="1">
      <c r="A12" s="82"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
      </c>
      <c r="B12" s="82"/>
      <c r="C12" s="82"/>
      <c r="D12" s="82"/>
      <c r="E12" s="82"/>
      <c r="F12" s="82"/>
    </row>
    <row r="13" spans="1:6" ht="28.35" customHeight="1">
      <c r="A13" s="15"/>
      <c r="B13" s="15"/>
      <c r="C13" s="31"/>
      <c r="D13" s="31"/>
      <c r="E13" s="15"/>
      <c r="F13" s="31"/>
    </row>
    <row r="14" spans="1:6" ht="28.35" customHeight="1">
      <c r="A14" s="15"/>
      <c r="B14" s="15"/>
      <c r="C14" s="31"/>
      <c r="D14" s="31"/>
      <c r="E14" s="15"/>
      <c r="F14" s="31"/>
    </row>
    <row r="15" spans="1:6" ht="28.35" customHeight="1">
      <c r="A15" s="15"/>
      <c r="B15" s="15"/>
      <c r="C15" s="31"/>
      <c r="D15" s="31"/>
      <c r="E15" s="15"/>
      <c r="F15" s="31"/>
    </row>
    <row r="16" spans="1:6" ht="28.35" customHeight="1">
      <c r="A16" s="15"/>
      <c r="B16" s="15"/>
      <c r="C16" s="31"/>
      <c r="D16" s="31"/>
      <c r="E16" s="15"/>
      <c r="F16" s="31"/>
    </row>
    <row r="17" spans="1:6" ht="28.35" customHeight="1">
      <c r="A17" s="15"/>
      <c r="B17" s="15"/>
      <c r="C17" s="31"/>
      <c r="D17" s="31"/>
      <c r="E17" s="15"/>
      <c r="F17" s="31"/>
    </row>
    <row r="18" spans="1:6" ht="28.35" customHeight="1">
      <c r="A18" s="15"/>
      <c r="B18" s="15"/>
      <c r="C18" s="31"/>
      <c r="D18" s="31"/>
      <c r="E18" s="15"/>
      <c r="F18" s="31"/>
    </row>
    <row r="19" spans="1:6" ht="28.35" customHeight="1">
      <c r="A19" s="15"/>
      <c r="B19" s="15"/>
      <c r="C19" s="31"/>
      <c r="D19" s="31"/>
      <c r="E19" s="15"/>
      <c r="F19" s="31"/>
    </row>
    <row r="20" spans="1:6" ht="28.35" customHeight="1">
      <c r="A20" s="15"/>
      <c r="B20" s="15"/>
      <c r="C20" s="31"/>
      <c r="D20" s="31"/>
      <c r="E20" s="15"/>
      <c r="F20" s="31"/>
    </row>
    <row r="21" spans="1:6" ht="28.35" customHeight="1">
      <c r="A21" s="15"/>
      <c r="B21" s="15"/>
      <c r="C21" s="31"/>
      <c r="D21" s="31"/>
      <c r="E21" s="15"/>
      <c r="F21" s="31"/>
    </row>
    <row r="22" spans="1:6" ht="28.35" customHeight="1">
      <c r="A22" s="15"/>
      <c r="B22" s="15"/>
      <c r="C22" s="31"/>
      <c r="D22" s="31"/>
      <c r="E22" s="15"/>
      <c r="F22" s="31"/>
    </row>
    <row r="23" spans="1:6" ht="28.35" customHeight="1">
      <c r="A23" s="15"/>
      <c r="B23" s="15"/>
      <c r="C23" s="31"/>
      <c r="D23" s="31"/>
      <c r="E23" s="15"/>
      <c r="F23" s="31"/>
    </row>
    <row r="24" spans="1:6" ht="28.35" customHeight="1">
      <c r="A24" s="15"/>
      <c r="B24" s="15"/>
      <c r="C24" s="31"/>
      <c r="D24" s="31"/>
      <c r="E24" s="15"/>
      <c r="F24" s="31"/>
    </row>
    <row r="25" spans="1:6" ht="28.35" customHeight="1">
      <c r="A25" s="15"/>
      <c r="B25" s="15"/>
      <c r="C25" s="31"/>
      <c r="D25" s="31"/>
      <c r="E25" s="15"/>
      <c r="F25" s="31"/>
    </row>
    <row r="26" spans="1:6" ht="28.35" customHeight="1">
      <c r="A26" s="15"/>
      <c r="B26" s="15"/>
      <c r="C26" s="31"/>
      <c r="D26" s="31"/>
      <c r="E26" s="15"/>
      <c r="F26" s="31"/>
    </row>
    <row r="27" spans="1:6" ht="28.35" customHeight="1">
      <c r="A27" s="15"/>
      <c r="B27" s="15"/>
      <c r="C27" s="31"/>
      <c r="D27" s="31"/>
      <c r="E27" s="15"/>
      <c r="F27" s="31"/>
    </row>
    <row r="28" spans="1:6" ht="28.35" customHeight="1">
      <c r="A28" s="15"/>
      <c r="B28" s="15"/>
      <c r="C28" s="31"/>
      <c r="D28" s="31"/>
      <c r="E28" s="15"/>
      <c r="F28" s="31"/>
    </row>
    <row r="29" spans="1:6" ht="28.35" customHeight="1">
      <c r="A29" s="15"/>
      <c r="B29" s="15"/>
      <c r="C29" s="31"/>
      <c r="D29" s="31"/>
      <c r="E29" s="15"/>
      <c r="F29" s="31"/>
    </row>
    <row r="30" spans="1:6" ht="28.35" customHeight="1">
      <c r="A30" s="15"/>
      <c r="B30" s="15"/>
      <c r="C30" s="31"/>
      <c r="D30" s="31"/>
      <c r="E30" s="15"/>
      <c r="F30" s="31"/>
    </row>
    <row r="31" spans="1:6" ht="28.35" customHeight="1">
      <c r="A31" s="15"/>
      <c r="B31" s="15"/>
      <c r="C31" s="31"/>
      <c r="D31" s="31"/>
      <c r="E31" s="15"/>
      <c r="F31" s="31"/>
    </row>
    <row r="32" spans="1:6" ht="28.35" customHeight="1">
      <c r="A32" s="15"/>
      <c r="B32" s="15"/>
      <c r="C32" s="31"/>
      <c r="D32" s="31"/>
      <c r="E32" s="15"/>
      <c r="F32" s="31"/>
    </row>
    <row r="33" spans="1:6" ht="28.35" customHeight="1">
      <c r="A33" s="15"/>
      <c r="B33" s="15"/>
      <c r="C33" s="31"/>
      <c r="D33" s="31"/>
      <c r="E33" s="15"/>
      <c r="F33" s="31"/>
    </row>
    <row r="46" spans="1:6">
      <c r="A46" s="83" t="s">
        <v>737</v>
      </c>
      <c r="B46" s="83"/>
      <c r="C46" s="83"/>
      <c r="D46" s="83"/>
      <c r="E46" s="83"/>
      <c r="F46" s="83"/>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10" priority="133">
      <formula>OR(COUNTA($A$5:$A$9)&lt;&gt;$C$3, COUNTA($A$5:$A$9)&lt;&gt;$E$3, COUNTA($A$5:$A$9)&lt;&gt;$F$3)</formula>
    </cfRule>
  </conditionalFormatting>
  <conditionalFormatting sqref="A5:F9">
    <cfRule type="expression" dxfId="9" priority="14">
      <formula>$A$4="Missions"</formula>
    </cfRule>
  </conditionalFormatting>
  <conditionalFormatting sqref="D5:E9">
    <cfRule type="expression" dxfId="8" priority="2">
      <formula>AND(D5&lt;&gt;"", NOT(OR(RIGHT(TRIM(D5),1)=".", RIGHT(TRIM(D5),1)="?", RIGHT(TRIM(D5),1)="!")))</formula>
    </cfRule>
  </conditionalFormatting>
  <conditionalFormatting sqref="F5:F9">
    <cfRule type="expression" dxfId="7" priority="1">
      <formula>$A5&lt;&gt;"Mission: CTF"</formula>
    </cfRule>
    <cfRule type="expression" dxfId="6"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ColWidth="8.85546875" defaultRowHeight="15"/>
  <cols>
    <col min="1" max="1" width="10.85546875" customWidth="1"/>
    <col min="2" max="2" width="16.42578125" customWidth="1"/>
    <col min="3" max="3" width="49.7109375" customWidth="1"/>
    <col min="4" max="4" width="25.7109375" customWidth="1"/>
    <col min="5" max="5" width="57.140625" customWidth="1"/>
  </cols>
  <sheetData>
    <row r="1" spans="1:12" ht="27">
      <c r="A1" s="87" t="s">
        <v>738</v>
      </c>
      <c r="B1" s="87"/>
      <c r="C1" s="87"/>
      <c r="D1" s="87"/>
      <c r="E1" s="87"/>
      <c r="F1" s="87"/>
      <c r="G1" s="87"/>
      <c r="H1" s="87"/>
      <c r="I1" s="87"/>
      <c r="J1" s="87"/>
      <c r="K1" s="87"/>
      <c r="L1" s="87"/>
    </row>
    <row r="2" spans="1:12">
      <c r="A2" s="1"/>
      <c r="B2" s="1"/>
      <c r="C2" s="1"/>
      <c r="D2" s="1"/>
      <c r="E2" s="1"/>
      <c r="F2" s="1"/>
      <c r="G2" s="1"/>
      <c r="H2" s="1"/>
      <c r="I2" s="1"/>
      <c r="J2" s="1"/>
      <c r="K2" s="1"/>
      <c r="L2" s="1"/>
    </row>
    <row r="3" spans="1:12">
      <c r="A3" s="14" t="s">
        <v>739</v>
      </c>
      <c r="B3" s="88" t="s">
        <v>740</v>
      </c>
      <c r="C3" s="88"/>
      <c r="D3" s="14" t="s">
        <v>741</v>
      </c>
      <c r="E3" s="20" t="s">
        <v>742</v>
      </c>
      <c r="G3" s="89" t="s">
        <v>48</v>
      </c>
      <c r="H3" s="89"/>
      <c r="I3" s="89"/>
      <c r="J3" s="89"/>
      <c r="K3" s="89"/>
      <c r="L3" s="89"/>
    </row>
    <row r="4" spans="1:12">
      <c r="G4" s="84"/>
      <c r="H4" s="85"/>
      <c r="I4" s="85"/>
      <c r="J4" s="85"/>
      <c r="K4" s="85"/>
      <c r="L4" s="86"/>
    </row>
    <row r="5" spans="1:12">
      <c r="A5" s="27" t="s">
        <v>743</v>
      </c>
      <c r="B5" s="27" t="s">
        <v>744</v>
      </c>
      <c r="C5" s="27" t="s">
        <v>1</v>
      </c>
      <c r="D5" s="27" t="s">
        <v>745</v>
      </c>
      <c r="E5" s="27" t="s">
        <v>746</v>
      </c>
      <c r="G5" s="84"/>
      <c r="H5" s="85"/>
      <c r="I5" s="85"/>
      <c r="J5" s="85"/>
      <c r="K5" s="85"/>
      <c r="L5" s="86"/>
    </row>
    <row r="6" spans="1:12">
      <c r="A6" s="28"/>
      <c r="B6" s="28"/>
      <c r="C6" s="28"/>
      <c r="D6" s="28"/>
      <c r="E6" s="28"/>
      <c r="G6" s="84"/>
      <c r="H6" s="85"/>
      <c r="I6" s="85"/>
      <c r="J6" s="85"/>
      <c r="K6" s="85"/>
      <c r="L6" s="86"/>
    </row>
    <row r="7" spans="1:12">
      <c r="A7" s="29"/>
      <c r="B7" s="29"/>
      <c r="C7" s="29"/>
      <c r="D7" s="29"/>
      <c r="E7" s="29"/>
      <c r="G7" s="84"/>
      <c r="H7" s="85"/>
      <c r="I7" s="85"/>
      <c r="J7" s="85"/>
      <c r="K7" s="85"/>
      <c r="L7" s="86"/>
    </row>
    <row r="8" spans="1:12">
      <c r="A8" s="29"/>
      <c r="B8" s="29"/>
      <c r="C8" s="29"/>
      <c r="D8" s="29"/>
      <c r="E8" s="29"/>
      <c r="G8" s="84"/>
      <c r="H8" s="85"/>
      <c r="I8" s="85"/>
      <c r="J8" s="85"/>
      <c r="K8" s="85"/>
      <c r="L8" s="86"/>
    </row>
    <row r="9" spans="1:12">
      <c r="A9" s="29"/>
      <c r="B9" s="29"/>
      <c r="C9" s="29"/>
      <c r="D9" s="29"/>
      <c r="E9" s="29"/>
      <c r="G9" s="84"/>
      <c r="H9" s="85"/>
      <c r="I9" s="85"/>
      <c r="J9" s="85"/>
      <c r="K9" s="85"/>
      <c r="L9" s="86"/>
    </row>
    <row r="10" spans="1:12">
      <c r="A10" s="29"/>
      <c r="B10" s="29"/>
      <c r="C10" s="29"/>
      <c r="D10" s="29"/>
      <c r="E10" s="29"/>
      <c r="G10" s="84"/>
      <c r="H10" s="85"/>
      <c r="I10" s="85"/>
      <c r="J10" s="85"/>
      <c r="K10" s="85"/>
      <c r="L10" s="86"/>
    </row>
    <row r="11" spans="1:12">
      <c r="A11" s="29"/>
      <c r="B11" s="29"/>
      <c r="C11" s="29"/>
      <c r="D11" s="29"/>
      <c r="E11" s="29"/>
      <c r="G11" s="84"/>
      <c r="H11" s="85"/>
      <c r="I11" s="85"/>
      <c r="J11" s="85"/>
      <c r="K11" s="85"/>
      <c r="L11" s="86"/>
    </row>
    <row r="12" spans="1:12">
      <c r="A12" s="29"/>
      <c r="B12" s="29"/>
      <c r="C12" s="29"/>
      <c r="D12" s="29"/>
      <c r="E12" s="29"/>
      <c r="G12" s="84"/>
      <c r="H12" s="85"/>
      <c r="I12" s="85"/>
      <c r="J12" s="85"/>
      <c r="K12" s="85"/>
      <c r="L12" s="86"/>
    </row>
    <row r="13" spans="1:12">
      <c r="A13" s="29"/>
      <c r="B13" s="29"/>
      <c r="C13" s="29"/>
      <c r="D13" s="29"/>
      <c r="E13" s="29"/>
      <c r="G13" s="84"/>
      <c r="H13" s="85"/>
      <c r="I13" s="85"/>
      <c r="J13" s="85"/>
      <c r="K13" s="85"/>
      <c r="L13" s="86"/>
    </row>
    <row r="14" spans="1:12">
      <c r="A14" s="29"/>
      <c r="B14" s="29"/>
      <c r="C14" s="29"/>
      <c r="D14" s="29"/>
      <c r="E14" s="29"/>
      <c r="G14" s="84"/>
      <c r="H14" s="85"/>
      <c r="I14" s="85"/>
      <c r="J14" s="85"/>
      <c r="K14" s="85"/>
      <c r="L14" s="86"/>
    </row>
    <row r="15" spans="1:12">
      <c r="A15" s="29"/>
      <c r="B15" s="29"/>
      <c r="C15" s="29"/>
      <c r="D15" s="29"/>
      <c r="E15" s="29"/>
      <c r="G15" s="84"/>
      <c r="H15" s="85"/>
      <c r="I15" s="85"/>
      <c r="J15" s="85"/>
      <c r="K15" s="85"/>
      <c r="L15" s="86"/>
    </row>
    <row r="16" spans="1:12">
      <c r="A16" s="29"/>
      <c r="B16" s="29"/>
      <c r="C16" s="29"/>
      <c r="D16" s="29"/>
      <c r="E16" s="29"/>
      <c r="G16" s="84"/>
      <c r="H16" s="85"/>
      <c r="I16" s="85"/>
      <c r="J16" s="85"/>
      <c r="K16" s="85"/>
      <c r="L16" s="86"/>
    </row>
    <row r="17" spans="1:12">
      <c r="A17" s="29"/>
      <c r="B17" s="29"/>
      <c r="C17" s="29"/>
      <c r="D17" s="29"/>
      <c r="E17" s="29"/>
      <c r="G17" s="84"/>
      <c r="H17" s="85"/>
      <c r="I17" s="85"/>
      <c r="J17" s="85"/>
      <c r="K17" s="85"/>
      <c r="L17" s="86"/>
    </row>
    <row r="18" spans="1:12">
      <c r="A18" s="29"/>
      <c r="B18" s="29"/>
      <c r="C18" s="29"/>
      <c r="D18" s="29"/>
      <c r="E18" s="29"/>
      <c r="G18" s="84"/>
      <c r="H18" s="85"/>
      <c r="I18" s="85"/>
      <c r="J18" s="85"/>
      <c r="K18" s="85"/>
      <c r="L18" s="86"/>
    </row>
    <row r="19" spans="1:12">
      <c r="A19" s="29"/>
      <c r="B19" s="29"/>
      <c r="C19" s="29"/>
      <c r="D19" s="29"/>
      <c r="E19" s="29"/>
      <c r="G19" s="84"/>
      <c r="H19" s="85"/>
      <c r="I19" s="85"/>
      <c r="J19" s="85"/>
      <c r="K19" s="85"/>
      <c r="L19" s="86"/>
    </row>
    <row r="20" spans="1:12">
      <c r="A20" s="29"/>
      <c r="B20" s="29"/>
      <c r="C20" s="29"/>
      <c r="D20" s="29"/>
      <c r="E20" s="29"/>
      <c r="G20" s="84"/>
      <c r="H20" s="85"/>
      <c r="I20" s="85"/>
      <c r="J20" s="85"/>
      <c r="K20" s="85"/>
      <c r="L20" s="86"/>
    </row>
    <row r="21" spans="1:12">
      <c r="A21" s="29"/>
      <c r="B21" s="29"/>
      <c r="C21" s="29"/>
      <c r="D21" s="29"/>
      <c r="E21" s="29"/>
      <c r="G21" s="84"/>
      <c r="H21" s="85"/>
      <c r="I21" s="85"/>
      <c r="J21" s="85"/>
      <c r="K21" s="85"/>
      <c r="L21" s="86"/>
    </row>
    <row r="22" spans="1:12">
      <c r="A22" s="29"/>
      <c r="B22" s="29"/>
      <c r="C22" s="29"/>
      <c r="D22" s="29"/>
      <c r="E22" s="29"/>
      <c r="G22" s="84"/>
      <c r="H22" s="85"/>
      <c r="I22" s="85"/>
      <c r="J22" s="85"/>
      <c r="K22" s="85"/>
      <c r="L22" s="86"/>
    </row>
    <row r="23" spans="1:12">
      <c r="A23" s="29"/>
      <c r="B23" s="29"/>
      <c r="C23" s="29"/>
      <c r="D23" s="29"/>
      <c r="E23" s="29"/>
      <c r="G23" s="84"/>
      <c r="H23" s="85"/>
      <c r="I23" s="85"/>
      <c r="J23" s="85"/>
      <c r="K23" s="85"/>
      <c r="L23" s="86"/>
    </row>
    <row r="24" spans="1:12">
      <c r="A24" s="29"/>
      <c r="B24" s="29"/>
      <c r="C24" s="29"/>
      <c r="D24" s="29"/>
      <c r="E24" s="29"/>
      <c r="G24" s="84"/>
      <c r="H24" s="85"/>
      <c r="I24" s="85"/>
      <c r="J24" s="85"/>
      <c r="K24" s="85"/>
      <c r="L24" s="86"/>
    </row>
    <row r="25" spans="1:12">
      <c r="A25" s="29"/>
      <c r="B25" s="29"/>
      <c r="C25" s="29"/>
      <c r="D25" s="29"/>
      <c r="E25" s="29"/>
      <c r="G25" s="84"/>
      <c r="H25" s="85"/>
      <c r="I25" s="85"/>
      <c r="J25" s="85"/>
      <c r="K25" s="85"/>
      <c r="L25" s="86"/>
    </row>
    <row r="26" spans="1:12">
      <c r="A26" s="29"/>
      <c r="B26" s="29"/>
      <c r="C26" s="29"/>
      <c r="D26" s="29"/>
      <c r="E26" s="29"/>
      <c r="G26" s="84"/>
      <c r="H26" s="85"/>
      <c r="I26" s="85"/>
      <c r="J26" s="85"/>
      <c r="K26" s="85"/>
      <c r="L26" s="86"/>
    </row>
    <row r="27" spans="1:12">
      <c r="A27" s="29"/>
      <c r="B27" s="29"/>
      <c r="C27" s="29"/>
      <c r="D27" s="29"/>
      <c r="E27" s="29"/>
      <c r="G27" s="84"/>
      <c r="H27" s="85"/>
      <c r="I27" s="85"/>
      <c r="J27" s="85"/>
      <c r="K27" s="85"/>
      <c r="L27" s="86"/>
    </row>
    <row r="28" spans="1:12">
      <c r="A28" s="29"/>
      <c r="B28" s="29"/>
      <c r="C28" s="29"/>
      <c r="D28" s="29"/>
      <c r="E28" s="29"/>
      <c r="G28" s="84"/>
      <c r="H28" s="85"/>
      <c r="I28" s="85"/>
      <c r="J28" s="85"/>
      <c r="K28" s="85"/>
      <c r="L28" s="86"/>
    </row>
    <row r="29" spans="1:12">
      <c r="A29" s="29"/>
      <c r="B29" s="29"/>
      <c r="C29" s="29"/>
      <c r="D29" s="29"/>
      <c r="E29" s="29"/>
      <c r="G29" s="84"/>
      <c r="H29" s="85"/>
      <c r="I29" s="85"/>
      <c r="J29" s="85"/>
      <c r="K29" s="85"/>
      <c r="L29" s="86"/>
    </row>
    <row r="30" spans="1:12">
      <c r="A30" s="29"/>
      <c r="B30" s="29"/>
      <c r="C30" s="29"/>
      <c r="D30" s="29"/>
      <c r="E30" s="29"/>
      <c r="G30" s="84"/>
      <c r="H30" s="85"/>
      <c r="I30" s="85"/>
      <c r="J30" s="85"/>
      <c r="K30" s="85"/>
      <c r="L30" s="86"/>
    </row>
    <row r="31" spans="1:12">
      <c r="A31" s="29"/>
      <c r="B31" s="29"/>
      <c r="C31" s="29"/>
      <c r="D31" s="29"/>
      <c r="E31" s="29"/>
      <c r="G31" s="84"/>
      <c r="H31" s="85"/>
      <c r="I31" s="85"/>
      <c r="J31" s="85"/>
      <c r="K31" s="85"/>
      <c r="L31" s="86"/>
    </row>
    <row r="32" spans="1:12">
      <c r="A32" s="29"/>
      <c r="B32" s="29"/>
      <c r="C32" s="29"/>
      <c r="D32" s="29"/>
      <c r="E32" s="29"/>
      <c r="G32" s="84"/>
      <c r="H32" s="85"/>
      <c r="I32" s="85"/>
      <c r="J32" s="85"/>
      <c r="K32" s="85"/>
      <c r="L32" s="86"/>
    </row>
    <row r="33" spans="1:12">
      <c r="A33" s="29"/>
      <c r="B33" s="29"/>
      <c r="C33" s="29"/>
      <c r="D33" s="29"/>
      <c r="E33" s="29"/>
      <c r="G33" s="84"/>
      <c r="H33" s="85"/>
      <c r="I33" s="85"/>
      <c r="J33" s="85"/>
      <c r="K33" s="85"/>
      <c r="L33" s="86"/>
    </row>
    <row r="34" spans="1:12">
      <c r="A34" s="29"/>
      <c r="B34" s="29"/>
      <c r="C34" s="29"/>
      <c r="D34" s="29"/>
      <c r="E34" s="29"/>
      <c r="G34" s="84"/>
      <c r="H34" s="85"/>
      <c r="I34" s="85"/>
      <c r="J34" s="85"/>
      <c r="K34" s="85"/>
      <c r="L34" s="86"/>
    </row>
    <row r="35" spans="1:12">
      <c r="A35" s="29"/>
      <c r="B35" s="29"/>
      <c r="C35" s="29"/>
      <c r="D35" s="29"/>
      <c r="E35" s="29"/>
      <c r="G35" s="84"/>
      <c r="H35" s="85"/>
      <c r="I35" s="85"/>
      <c r="J35" s="85"/>
      <c r="K35" s="85"/>
      <c r="L35" s="86"/>
    </row>
    <row r="36" spans="1:12">
      <c r="A36" s="29"/>
      <c r="B36" s="29"/>
      <c r="C36" s="29"/>
      <c r="D36" s="29"/>
      <c r="E36" s="29"/>
      <c r="G36" s="84"/>
      <c r="H36" s="85"/>
      <c r="I36" s="85"/>
      <c r="J36" s="85"/>
      <c r="K36" s="85"/>
      <c r="L36" s="86"/>
    </row>
    <row r="37" spans="1:12">
      <c r="A37" s="29"/>
      <c r="B37" s="29"/>
      <c r="C37" s="29"/>
      <c r="D37" s="29"/>
      <c r="E37" s="29"/>
      <c r="G37" s="84"/>
      <c r="H37" s="85"/>
      <c r="I37" s="85"/>
      <c r="J37" s="85"/>
      <c r="K37" s="85"/>
      <c r="L37" s="86"/>
    </row>
    <row r="38" spans="1:12">
      <c r="A38" s="29"/>
      <c r="B38" s="29"/>
      <c r="C38" s="29"/>
      <c r="D38" s="29"/>
      <c r="E38" s="29"/>
      <c r="G38" s="84"/>
      <c r="H38" s="85"/>
      <c r="I38" s="85"/>
      <c r="J38" s="85"/>
      <c r="K38" s="85"/>
      <c r="L38" s="86"/>
    </row>
    <row r="39" spans="1:12">
      <c r="A39" s="29"/>
      <c r="B39" s="29"/>
      <c r="C39" s="29"/>
      <c r="D39" s="29"/>
      <c r="E39" s="29"/>
      <c r="G39" s="84"/>
      <c r="H39" s="85"/>
      <c r="I39" s="85"/>
      <c r="J39" s="85"/>
      <c r="K39" s="85"/>
      <c r="L39" s="86"/>
    </row>
    <row r="40" spans="1:12">
      <c r="A40" s="29"/>
      <c r="B40" s="29"/>
      <c r="C40" s="29"/>
      <c r="D40" s="29"/>
      <c r="E40" s="29"/>
      <c r="G40" s="84"/>
      <c r="H40" s="85"/>
      <c r="I40" s="85"/>
      <c r="J40" s="85"/>
      <c r="K40" s="85"/>
      <c r="L40" s="86"/>
    </row>
    <row r="41" spans="1:12">
      <c r="A41" s="29"/>
      <c r="B41" s="29"/>
      <c r="C41" s="29"/>
      <c r="D41" s="29"/>
      <c r="E41" s="29"/>
      <c r="G41" s="84"/>
      <c r="H41" s="85"/>
      <c r="I41" s="85"/>
      <c r="J41" s="85"/>
      <c r="K41" s="85"/>
      <c r="L41" s="86"/>
    </row>
    <row r="42" spans="1:12">
      <c r="A42" s="29"/>
      <c r="B42" s="29"/>
      <c r="C42" s="29"/>
      <c r="D42" s="29"/>
      <c r="E42" s="29"/>
      <c r="G42" s="84"/>
      <c r="H42" s="85"/>
      <c r="I42" s="85"/>
      <c r="J42" s="85"/>
      <c r="K42" s="85"/>
      <c r="L42" s="86"/>
    </row>
    <row r="43" spans="1:12">
      <c r="A43" s="29"/>
      <c r="B43" s="29"/>
      <c r="C43" s="29"/>
      <c r="D43" s="29"/>
      <c r="E43" s="29"/>
      <c r="G43" s="84"/>
      <c r="H43" s="85"/>
      <c r="I43" s="85"/>
      <c r="J43" s="85"/>
      <c r="K43" s="85"/>
      <c r="L43" s="86"/>
    </row>
    <row r="44" spans="1:12">
      <c r="A44" s="29"/>
      <c r="B44" s="29"/>
      <c r="C44" s="29"/>
      <c r="D44" s="29"/>
      <c r="E44" s="29"/>
      <c r="G44" s="84"/>
      <c r="H44" s="85"/>
      <c r="I44" s="85"/>
      <c r="J44" s="85"/>
      <c r="K44" s="85"/>
      <c r="L44" s="86"/>
    </row>
    <row r="45" spans="1:12">
      <c r="A45" s="29"/>
      <c r="B45" s="29"/>
      <c r="C45" s="29"/>
      <c r="D45" s="29"/>
      <c r="E45" s="29"/>
      <c r="G45" s="84"/>
      <c r="H45" s="85"/>
      <c r="I45" s="85"/>
      <c r="J45" s="85"/>
      <c r="K45" s="85"/>
      <c r="L45" s="86"/>
    </row>
    <row r="46" spans="1:12">
      <c r="A46" s="29"/>
      <c r="B46" s="29"/>
      <c r="C46" s="29"/>
      <c r="D46" s="29"/>
      <c r="E46" s="29"/>
      <c r="G46" s="84"/>
      <c r="H46" s="85"/>
      <c r="I46" s="85"/>
      <c r="J46" s="85"/>
      <c r="K46" s="85"/>
      <c r="L46" s="86"/>
    </row>
    <row r="47" spans="1:12">
      <c r="A47" s="29"/>
      <c r="B47" s="29"/>
      <c r="C47" s="29"/>
      <c r="D47" s="29"/>
      <c r="E47" s="29"/>
      <c r="G47" s="84"/>
      <c r="H47" s="85"/>
      <c r="I47" s="85"/>
      <c r="J47" s="85"/>
      <c r="K47" s="85"/>
      <c r="L47" s="86"/>
    </row>
    <row r="48" spans="1:12">
      <c r="A48" s="29"/>
      <c r="B48" s="29"/>
      <c r="C48" s="29"/>
      <c r="D48" s="29"/>
      <c r="E48" s="29"/>
      <c r="G48" s="84"/>
      <c r="H48" s="85"/>
      <c r="I48" s="85"/>
      <c r="J48" s="85"/>
      <c r="K48" s="85"/>
      <c r="L48" s="86"/>
    </row>
    <row r="49" spans="1:12">
      <c r="A49" s="29"/>
      <c r="B49" s="29"/>
      <c r="C49" s="29"/>
      <c r="D49" s="29"/>
      <c r="E49" s="29"/>
      <c r="G49" s="84"/>
      <c r="H49" s="85"/>
      <c r="I49" s="85"/>
      <c r="J49" s="85"/>
      <c r="K49" s="85"/>
      <c r="L49" s="86"/>
    </row>
    <row r="50" spans="1:12">
      <c r="A50" s="29"/>
      <c r="B50" s="29"/>
      <c r="C50" s="29"/>
      <c r="D50" s="29"/>
      <c r="E50" s="29"/>
      <c r="G50" s="84"/>
      <c r="H50" s="85"/>
      <c r="I50" s="85"/>
      <c r="J50" s="85"/>
      <c r="K50" s="85"/>
      <c r="L50" s="86"/>
    </row>
    <row r="51" spans="1:12">
      <c r="A51" s="29"/>
      <c r="B51" s="29"/>
      <c r="C51" s="29"/>
      <c r="D51" s="29"/>
      <c r="E51" s="29"/>
      <c r="G51" s="84"/>
      <c r="H51" s="85"/>
      <c r="I51" s="85"/>
      <c r="J51" s="85"/>
      <c r="K51" s="85"/>
      <c r="L51" s="86"/>
    </row>
    <row r="52" spans="1:12">
      <c r="A52" s="29"/>
      <c r="B52" s="29"/>
      <c r="C52" s="29"/>
      <c r="D52" s="29"/>
      <c r="E52" s="29"/>
      <c r="G52" s="84"/>
      <c r="H52" s="85"/>
      <c r="I52" s="85"/>
      <c r="J52" s="85"/>
      <c r="K52" s="85"/>
      <c r="L52" s="86"/>
    </row>
    <row r="53" spans="1:12">
      <c r="A53" s="29"/>
      <c r="B53" s="29"/>
      <c r="C53" s="29"/>
      <c r="D53" s="29"/>
      <c r="E53" s="29"/>
      <c r="G53" s="84"/>
      <c r="H53" s="85"/>
      <c r="I53" s="85"/>
      <c r="J53" s="85"/>
      <c r="K53" s="85"/>
      <c r="L53" s="86"/>
    </row>
    <row r="54" spans="1:12">
      <c r="A54" s="29"/>
      <c r="B54" s="29"/>
      <c r="C54" s="29"/>
      <c r="D54" s="29"/>
      <c r="E54" s="29"/>
      <c r="G54" s="84"/>
      <c r="H54" s="85"/>
      <c r="I54" s="85"/>
      <c r="J54" s="85"/>
      <c r="K54" s="85"/>
      <c r="L54" s="86"/>
    </row>
    <row r="55" spans="1:12">
      <c r="A55" s="29"/>
      <c r="B55" s="29"/>
      <c r="C55" s="29"/>
      <c r="D55" s="29"/>
      <c r="E55" s="29"/>
      <c r="G55" s="84"/>
      <c r="H55" s="85"/>
      <c r="I55" s="85"/>
      <c r="J55" s="85"/>
      <c r="K55" s="85"/>
      <c r="L55" s="86"/>
    </row>
    <row r="56" spans="1:12">
      <c r="A56" s="29"/>
      <c r="B56" s="29"/>
      <c r="C56" s="29"/>
      <c r="D56" s="29"/>
      <c r="E56" s="29"/>
      <c r="G56" s="84"/>
      <c r="H56" s="85"/>
      <c r="I56" s="85"/>
      <c r="J56" s="85"/>
      <c r="K56" s="85"/>
      <c r="L56" s="86"/>
    </row>
    <row r="57" spans="1:12">
      <c r="A57" s="29"/>
      <c r="B57" s="29"/>
      <c r="C57" s="29"/>
      <c r="D57" s="29"/>
      <c r="E57" s="29"/>
      <c r="G57" s="84"/>
      <c r="H57" s="85"/>
      <c r="I57" s="85"/>
      <c r="J57" s="85"/>
      <c r="K57" s="85"/>
      <c r="L57" s="86"/>
    </row>
    <row r="58" spans="1:12">
      <c r="A58" s="29"/>
      <c r="B58" s="29"/>
      <c r="C58" s="29"/>
      <c r="D58" s="29"/>
      <c r="E58" s="29"/>
      <c r="G58" s="84"/>
      <c r="H58" s="85"/>
      <c r="I58" s="85"/>
      <c r="J58" s="85"/>
      <c r="K58" s="85"/>
      <c r="L58" s="86"/>
    </row>
    <row r="59" spans="1:12">
      <c r="A59" s="29"/>
      <c r="B59" s="29"/>
      <c r="C59" s="29"/>
      <c r="D59" s="29"/>
      <c r="E59" s="29"/>
      <c r="G59" s="84"/>
      <c r="H59" s="85"/>
      <c r="I59" s="85"/>
      <c r="J59" s="85"/>
      <c r="K59" s="85"/>
      <c r="L59" s="86"/>
    </row>
    <row r="60" spans="1:12">
      <c r="A60" s="29"/>
      <c r="B60" s="29"/>
      <c r="C60" s="29"/>
      <c r="D60" s="29"/>
      <c r="E60" s="29"/>
      <c r="G60" s="90"/>
      <c r="H60" s="91"/>
      <c r="I60" s="91"/>
      <c r="J60" s="91"/>
      <c r="K60" s="91"/>
      <c r="L60" s="92"/>
    </row>
  </sheetData>
  <sheetProtection algorithmName="SHA-512" hashValue="QSpieNv9dvvNobA82AL6IzTtDYo2ykEcq7fFtNJQVhBvGb4eGfyS2iVDizqm+Hz8FxeIiyg9qnsxQYl87PdXHg==" saltValue="Xm5+THXyEhpCJgkT9/uObg==" spinCount="100000" sheet="1" objects="1" scenarios="1"/>
  <mergeCells count="60">
    <mergeCell ref="G60:L60"/>
    <mergeCell ref="G49:L49"/>
    <mergeCell ref="G50:L50"/>
    <mergeCell ref="G51:L51"/>
    <mergeCell ref="G52:L52"/>
    <mergeCell ref="G53:L53"/>
    <mergeCell ref="G54:L54"/>
    <mergeCell ref="G55:L55"/>
    <mergeCell ref="G56:L56"/>
    <mergeCell ref="G57:L57"/>
    <mergeCell ref="G58:L58"/>
    <mergeCell ref="G59:L59"/>
    <mergeCell ref="G48:L48"/>
    <mergeCell ref="G37:L37"/>
    <mergeCell ref="G38:L38"/>
    <mergeCell ref="G39:L39"/>
    <mergeCell ref="G40:L40"/>
    <mergeCell ref="G41:L41"/>
    <mergeCell ref="G42:L42"/>
    <mergeCell ref="G43:L43"/>
    <mergeCell ref="G44:L44"/>
    <mergeCell ref="G45:L45"/>
    <mergeCell ref="G46:L46"/>
    <mergeCell ref="G47:L47"/>
    <mergeCell ref="G36:L36"/>
    <mergeCell ref="G25:L25"/>
    <mergeCell ref="G26:L26"/>
    <mergeCell ref="G27:L27"/>
    <mergeCell ref="G28:L28"/>
    <mergeCell ref="G29:L29"/>
    <mergeCell ref="G30:L30"/>
    <mergeCell ref="G31:L31"/>
    <mergeCell ref="G32:L32"/>
    <mergeCell ref="G33:L33"/>
    <mergeCell ref="G34:L34"/>
    <mergeCell ref="G35:L35"/>
    <mergeCell ref="G24:L24"/>
    <mergeCell ref="G13:L13"/>
    <mergeCell ref="G14:L14"/>
    <mergeCell ref="G15:L15"/>
    <mergeCell ref="G16:L16"/>
    <mergeCell ref="G17:L17"/>
    <mergeCell ref="G18:L18"/>
    <mergeCell ref="G19:L19"/>
    <mergeCell ref="G20:L20"/>
    <mergeCell ref="G21:L21"/>
    <mergeCell ref="G22:L22"/>
    <mergeCell ref="G23:L23"/>
    <mergeCell ref="G9:L9"/>
    <mergeCell ref="G10:L10"/>
    <mergeCell ref="G11:L11"/>
    <mergeCell ref="G12:L12"/>
    <mergeCell ref="A1:L1"/>
    <mergeCell ref="B3:C3"/>
    <mergeCell ref="G3:L3"/>
    <mergeCell ref="G4:L4"/>
    <mergeCell ref="G5:L5"/>
    <mergeCell ref="G6:L6"/>
    <mergeCell ref="G7:L7"/>
    <mergeCell ref="G8:L8"/>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zoomScale="140" zoomScaleNormal="140" workbookViewId="0">
      <pane ySplit="2" topLeftCell="A3" activePane="bottomLeft" state="frozen"/>
      <selection pane="bottomLeft" activeCell="C15" sqref="C15"/>
      <selection activeCell="E25" sqref="E25"/>
    </sheetView>
  </sheetViews>
  <sheetFormatPr defaultColWidth="8.85546875" defaultRowHeight="15"/>
  <cols>
    <col min="1" max="1" width="56.7109375" customWidth="1"/>
    <col min="2" max="2" width="72.28515625" customWidth="1"/>
    <col min="3" max="3" width="65.42578125" customWidth="1"/>
    <col min="4" max="4" width="73" customWidth="1"/>
    <col min="5" max="5" width="57.28515625" customWidth="1"/>
    <col min="6" max="6" width="14.7109375" customWidth="1"/>
    <col min="7" max="7" width="12.28515625" customWidth="1"/>
    <col min="8" max="8" width="19.7109375" customWidth="1"/>
    <col min="14" max="14" width="13.42578125" customWidth="1"/>
    <col min="15" max="15" width="13.7109375" customWidth="1"/>
    <col min="16" max="16" width="24.28515625" customWidth="1"/>
    <col min="17" max="17" width="18" customWidth="1"/>
  </cols>
  <sheetData>
    <row r="1" spans="1:4" s="1" customFormat="1"/>
    <row r="2" spans="1:4">
      <c r="A2" s="10" t="s">
        <v>747</v>
      </c>
      <c r="B2" s="10" t="s">
        <v>748</v>
      </c>
      <c r="C2" s="11" t="s">
        <v>749</v>
      </c>
      <c r="D2" s="11" t="s">
        <v>750</v>
      </c>
    </row>
    <row r="3" spans="1:4">
      <c r="A3" s="2" t="s">
        <v>64</v>
      </c>
      <c r="B3" s="2"/>
      <c r="C3" s="1" t="str">
        <f>IF(ISBLANK($A3),"",CLEAN(TRIM(SUBSTITUTE($A3," ","_"))))</f>
        <v>Administration_with_Control_Hub</v>
      </c>
      <c r="D3" s="1" t="str">
        <f>IF(ISBLANK($B3),"",TRIM(CLEAN(SUBSTITUTE($B3,"_"," "))))</f>
        <v/>
      </c>
    </row>
    <row r="4" spans="1:4">
      <c r="A4" s="2" t="s">
        <v>68</v>
      </c>
      <c r="B4" s="2"/>
      <c r="C4" s="1" t="str">
        <f t="shared" ref="C4:C67" si="0">IF(ISBLANK($A4),"",CLEAN(TRIM(SUBSTITUTE($A4," ","_"))))</f>
        <v>Provisioning_:_Licensing_&amp;_Organization_Setup</v>
      </c>
      <c r="D4" s="1" t="str">
        <f t="shared" ref="D4:D67" si="1">IF(ISBLANK($B4),"",TRIM(CLEAN(SUBSTITUTE($B4,"_"," "))))</f>
        <v/>
      </c>
    </row>
    <row r="5" spans="1:4">
      <c r="A5" s="2" t="s">
        <v>72</v>
      </c>
      <c r="B5" s="2"/>
      <c r="C5" s="1" t="str">
        <f t="shared" si="0"/>
        <v>Domain_Claiming_&amp;_User_Onboarding</v>
      </c>
      <c r="D5" s="1" t="str">
        <f t="shared" si="1"/>
        <v/>
      </c>
    </row>
    <row r="6" spans="1:4">
      <c r="A6" s="2" t="s">
        <v>76</v>
      </c>
      <c r="B6" s="2"/>
      <c r="C6" s="1" t="str">
        <f t="shared" si="0"/>
        <v>Location_Configuration_Strategy</v>
      </c>
      <c r="D6" s="1" t="str">
        <f t="shared" si="1"/>
        <v/>
      </c>
    </row>
    <row r="7" spans="1:4">
      <c r="A7" s="2" t="s">
        <v>80</v>
      </c>
      <c r="B7" s="2"/>
      <c r="C7" s="1" t="str">
        <f t="shared" si="0"/>
        <v>Enabling_User_Calling_Services</v>
      </c>
      <c r="D7" s="1" t="str">
        <f t="shared" si="1"/>
        <v/>
      </c>
    </row>
    <row r="8" spans="1:4">
      <c r="A8" s="2" t="s">
        <v>84</v>
      </c>
      <c r="B8" s="2"/>
      <c r="C8" s="1" t="str">
        <f t="shared" si="0"/>
        <v>Webex_App_Deployment_&amp;_Configuration</v>
      </c>
      <c r="D8" s="1" t="str">
        <f t="shared" si="1"/>
        <v/>
      </c>
    </row>
    <row r="9" spans="1:4">
      <c r="A9" s="2" t="s">
        <v>88</v>
      </c>
      <c r="B9" s="2"/>
      <c r="C9" s="1" t="str">
        <f t="shared" si="0"/>
        <v>The_Migration_Lifecycle</v>
      </c>
      <c r="D9" s="1" t="str">
        <f t="shared" si="1"/>
        <v/>
      </c>
    </row>
    <row r="10" spans="1:4">
      <c r="A10" s="2" t="s">
        <v>91</v>
      </c>
      <c r="B10" s="2"/>
      <c r="C10" s="1" t="str">
        <f t="shared" si="0"/>
        <v>Network_&amp;_Security_Readiness:_Part_1</v>
      </c>
      <c r="D10" s="1" t="str">
        <f t="shared" si="1"/>
        <v/>
      </c>
    </row>
    <row r="11" spans="1:4" ht="15.95">
      <c r="A11" s="56" t="s">
        <v>98</v>
      </c>
      <c r="B11" s="2"/>
      <c r="C11" s="1" t="str">
        <f t="shared" si="0"/>
        <v>PSTN_Service_Options_Overview</v>
      </c>
      <c r="D11" s="1" t="str">
        <f t="shared" si="1"/>
        <v/>
      </c>
    </row>
    <row r="12" spans="1:4">
      <c r="A12" s="2" t="s">
        <v>101</v>
      </c>
      <c r="B12" s="2"/>
      <c r="C12" s="1" t="str">
        <f t="shared" si="0"/>
        <v>Calling_Regions_and_Media_PoP</v>
      </c>
      <c r="D12" s="1" t="str">
        <f t="shared" si="1"/>
        <v/>
      </c>
    </row>
    <row r="13" spans="1:4" ht="15.95">
      <c r="A13" s="55" t="s">
        <v>104</v>
      </c>
      <c r="B13" s="2"/>
      <c r="C13" s="1" t="str">
        <f t="shared" si="0"/>
        <v>Location-Based_Routing_Considerations</v>
      </c>
      <c r="D13" s="1" t="str">
        <f t="shared" si="1"/>
        <v/>
      </c>
    </row>
    <row r="14" spans="1:4">
      <c r="A14" s="2" t="s">
        <v>52</v>
      </c>
      <c r="B14" s="2"/>
      <c r="C14" s="1" t="str">
        <f t="shared" si="0"/>
        <v>Introduction_to_Webex_calling</v>
      </c>
      <c r="D14" s="1" t="str">
        <f t="shared" si="1"/>
        <v/>
      </c>
    </row>
    <row r="15" spans="1:4">
      <c r="A15" s="2" t="s">
        <v>60</v>
      </c>
      <c r="B15" s="2"/>
      <c r="C15" s="1" t="str">
        <f t="shared" si="0"/>
        <v>Dedicated_Instance:_Architecture_&amp;_Use_Cases</v>
      </c>
      <c r="D15" s="1" t="str">
        <f t="shared" si="1"/>
        <v/>
      </c>
    </row>
    <row r="16" spans="1:4">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ref="C68:C101" si="2">IF(ISBLANK($A68),"",CLEAN(TRIM(SUBSTITUTE($A68," ","_"))))</f>
        <v/>
      </c>
      <c r="D68" s="1" t="str">
        <f t="shared" ref="D68:D101" si="3">IF(ISBLANK($B68),"",TRIM(CLEAN(SUBSTITUTE($B68,"_"," "))))</f>
        <v/>
      </c>
    </row>
    <row r="69" spans="1:4">
      <c r="A69" s="2"/>
      <c r="B69" s="2"/>
      <c r="C69" s="1" t="str">
        <f t="shared" si="2"/>
        <v/>
      </c>
      <c r="D69" s="1" t="str">
        <f t="shared" si="3"/>
        <v/>
      </c>
    </row>
    <row r="70" spans="1:4">
      <c r="A70" s="2"/>
      <c r="B70" s="2"/>
      <c r="C70" s="1" t="str">
        <f t="shared" si="2"/>
        <v/>
      </c>
      <c r="D70" s="1" t="str">
        <f t="shared" si="3"/>
        <v/>
      </c>
    </row>
    <row r="71" spans="1:4">
      <c r="A71" s="2"/>
      <c r="B71" s="2"/>
      <c r="C71" s="1" t="str">
        <f t="shared" si="2"/>
        <v/>
      </c>
      <c r="D71" s="1" t="str">
        <f t="shared" si="3"/>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773753-B07E-489B-BD0A-AB75D4C7064A}"/>
</file>

<file path=customXml/itemProps2.xml><?xml version="1.0" encoding="utf-8"?>
<ds:datastoreItem xmlns:ds="http://schemas.openxmlformats.org/officeDocument/2006/customXml" ds:itemID="{C048C4D4-9072-4358-AB92-9279FD91DDBC}"/>
</file>

<file path=customXml/itemProps3.xml><?xml version="1.0" encoding="utf-8"?>
<ds:datastoreItem xmlns:ds="http://schemas.openxmlformats.org/officeDocument/2006/customXml" ds:itemID="{910E1E48-7BC3-45DE-AF3F-B79ED11F5061}"/>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Adam North (adnorth)</cp:lastModifiedBy>
  <cp:revision/>
  <dcterms:created xsi:type="dcterms:W3CDTF">2025-05-05T12:00:47Z</dcterms:created>
  <dcterms:modified xsi:type="dcterms:W3CDTF">2026-08-12T12:54:45Z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