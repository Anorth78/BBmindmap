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codeName="ThisWorkbook" defaultThemeVersion="166925"/>
  <mc:AlternateContent xmlns:mc="http://schemas.openxmlformats.org/markup-compatibility/2006">
    <mc:Choice Requires="x15">
      <x15ac:absPath xmlns:x15ac="http://schemas.microsoft.com/office/spreadsheetml/2010/11/ac" url="C:\Users\amashar2\Downloads\"/>
    </mc:Choice>
  </mc:AlternateContent>
  <xr:revisionPtr revIDLastSave="0" documentId="8_{8E60ABD1-C7FE-4D1A-9F2F-AD5C834DE232}" xr6:coauthVersionLast="47" xr6:coauthVersionMax="47" xr10:uidLastSave="{00000000-0000-0000-0000-000000000000}"/>
  <bookViews>
    <workbookView xWindow="-108" yWindow="-108" windowWidth="23256" windowHeight="12456" firstSheet="3" activeTab="3" xr2:uid="{D8AA4DB6-1500-4BF5-8864-A9C080B42151}"/>
  </bookViews>
  <sheets>
    <sheet name="Quiz" sheetId="1" state="hidden" r:id="rId1"/>
    <sheet name="Assessment" sheetId="7" r:id="rId2"/>
    <sheet name="Assess.Details" sheetId="8" r:id="rId3"/>
    <sheet name="Series" sheetId="2" r:id="rId4"/>
    <sheet name="Track" sheetId="6" r:id="rId5"/>
    <sheet name="Guidelines" sheetId="4" r:id="rId6"/>
    <sheet name="Input" sheetId="3" state="hidden" r:id="rId7"/>
  </sheets>
  <definedNames>
    <definedName name="_xlnm._FilterDatabase" localSheetId="1" hidden="1">Assessment!$A$1:$J$1</definedName>
    <definedName name="_xlnm._FilterDatabase" localSheetId="0" hidden="1">Input!$E$3:$E$12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7" l="1" a="1"/>
  <c r="J4" i="7" a="1"/>
  <c r="J5" i="7" a="1"/>
  <c r="J6" i="7" a="1"/>
  <c r="J7" i="7" a="1"/>
  <c r="J8" i="7" a="1"/>
  <c r="J9" i="7" a="1"/>
  <c r="J10" i="7" a="1"/>
  <c r="J11" i="7" a="1"/>
  <c r="J12" i="7" a="1"/>
  <c r="J13" i="7" a="1"/>
  <c r="J14" i="7" a="1"/>
  <c r="J15" i="7" a="1"/>
  <c r="J16" i="7" a="1"/>
  <c r="J17" i="7" a="1"/>
  <c r="J18" i="7" a="1"/>
  <c r="J19" i="7" a="1"/>
  <c r="J20" i="7" a="1"/>
  <c r="J21" i="7" a="1"/>
  <c r="J22" i="7" a="1"/>
  <c r="J23" i="7" a="1"/>
  <c r="J24" i="7" a="1"/>
  <c r="J25" i="7" a="1"/>
  <c r="J26" i="7" a="1"/>
  <c r="J27" i="7" a="1"/>
  <c r="J28" i="7" a="1"/>
  <c r="J29" i="7" a="1"/>
  <c r="J30" i="7" a="1"/>
  <c r="J31" i="7" a="1"/>
  <c r="J32" i="7" a="1"/>
  <c r="J33" i="7" a="1"/>
  <c r="J34" i="7" a="1"/>
  <c r="J35" i="7" a="1"/>
  <c r="J36" i="7" a="1"/>
  <c r="J37" i="7" a="1"/>
  <c r="J38" i="7" a="1"/>
  <c r="J39" i="7" a="1"/>
  <c r="J40" i="7" a="1"/>
  <c r="J41" i="7" a="1"/>
  <c r="J42" i="7" a="1"/>
  <c r="J43" i="7" a="1"/>
  <c r="J44" i="7" a="1"/>
  <c r="J45" i="7" a="1"/>
  <c r="J46" i="7" a="1"/>
  <c r="J47" i="7" a="1"/>
  <c r="J48" i="7" a="1"/>
  <c r="J49" i="7" a="1"/>
  <c r="J50" i="7" a="1"/>
  <c r="J51" i="7" a="1"/>
  <c r="J52" i="7" a="1"/>
  <c r="J53" i="7" a="1"/>
  <c r="J54" i="7" a="1"/>
  <c r="J55" i="7" a="1"/>
  <c r="J56" i="7" a="1"/>
  <c r="J57" i="7" a="1"/>
  <c r="J58" i="7" a="1"/>
  <c r="J59" i="7" a="1"/>
  <c r="J60" i="7" a="1"/>
  <c r="J61" i="7" a="1"/>
  <c r="J62" i="7" a="1"/>
  <c r="J63" i="7" a="1"/>
  <c r="J64" i="7" a="1"/>
  <c r="J65" i="7" a="1"/>
  <c r="J66" i="7" a="1"/>
  <c r="J67" i="7" a="1"/>
  <c r="J68" i="7" a="1"/>
  <c r="J69" i="7" a="1"/>
  <c r="J70" i="7" a="1"/>
  <c r="J71" i="7" a="1"/>
  <c r="J72" i="7" a="1"/>
  <c r="J73" i="7" a="1"/>
  <c r="J74" i="7" a="1"/>
  <c r="J75" i="7" a="1"/>
  <c r="J76" i="7" a="1"/>
  <c r="J77" i="7" a="1"/>
  <c r="J78" i="7" a="1"/>
  <c r="J79" i="7" a="1"/>
  <c r="J80" i="7" a="1"/>
  <c r="J81" i="7" a="1"/>
  <c r="J82" i="7" a="1"/>
  <c r="J83" i="7" a="1"/>
  <c r="J84" i="7" a="1"/>
  <c r="J85" i="7" a="1"/>
  <c r="J86" i="7" a="1"/>
  <c r="J87" i="7" a="1"/>
  <c r="J88" i="7" a="1"/>
  <c r="J89" i="7" a="1"/>
  <c r="J90" i="7" a="1"/>
  <c r="J91" i="7" a="1"/>
  <c r="J92" i="7" a="1"/>
  <c r="J93" i="7" a="1"/>
  <c r="J94" i="7" a="1"/>
  <c r="J95" i="7" a="1"/>
  <c r="J96" i="7" a="1"/>
  <c r="J97" i="7" a="1"/>
  <c r="J98" i="7" a="1"/>
  <c r="J99" i="7" a="1"/>
  <c r="J100" i="7" a="1"/>
  <c r="J101" i="7" a="1"/>
  <c r="J102" i="7" a="1"/>
  <c r="J103" i="7" a="1"/>
  <c r="J104" i="7" a="1"/>
  <c r="J105" i="7" a="1"/>
  <c r="J106" i="7" a="1"/>
  <c r="J107" i="7" a="1"/>
  <c r="J108" i="7" a="1"/>
  <c r="J109" i="7" a="1"/>
  <c r="J110" i="7" a="1"/>
  <c r="J111" i="7" a="1"/>
  <c r="J112" i="7" a="1"/>
  <c r="J113" i="7" a="1"/>
  <c r="J114" i="7" a="1"/>
  <c r="J115" i="7" a="1"/>
  <c r="J116" i="7" a="1"/>
  <c r="J117" i="7" a="1"/>
  <c r="J118" i="7" a="1"/>
  <c r="J119" i="7" a="1"/>
  <c r="J120" i="7" a="1"/>
  <c r="J121" i="7" a="1"/>
  <c r="J122" i="7" a="1"/>
  <c r="J123" i="7" a="1"/>
  <c r="J124" i="7" a="1"/>
  <c r="J125" i="7" a="1"/>
  <c r="J126" i="7" a="1"/>
  <c r="J127" i="7" a="1"/>
  <c r="J128" i="7" a="1"/>
  <c r="J129" i="7" a="1"/>
  <c r="J130" i="7" a="1"/>
  <c r="J131" i="7" a="1"/>
  <c r="J132" i="7" a="1"/>
  <c r="J133" i="7" a="1"/>
  <c r="J134" i="7" a="1"/>
  <c r="J135" i="7" a="1"/>
  <c r="J136" i="7" a="1"/>
  <c r="J137" i="7" a="1"/>
  <c r="J138" i="7" a="1"/>
  <c r="J139" i="7" a="1"/>
  <c r="J140" i="7" a="1"/>
  <c r="J141" i="7" a="1"/>
  <c r="J142" i="7" a="1"/>
  <c r="J143" i="7" a="1"/>
  <c r="J144" i="7" a="1"/>
  <c r="J145" i="7" a="1"/>
  <c r="J146" i="7" a="1"/>
  <c r="J147" i="7" a="1"/>
  <c r="J148" i="7" a="1"/>
  <c r="J149" i="7" a="1"/>
  <c r="J150" i="7" a="1"/>
  <c r="J151" i="7" a="1"/>
  <c r="J152" i="7" a="1"/>
  <c r="J153" i="7" a="1"/>
  <c r="J154" i="7" a="1"/>
  <c r="J155" i="7" a="1"/>
  <c r="J156" i="7" a="1"/>
  <c r="J157" i="7" a="1"/>
  <c r="J158" i="7" a="1"/>
  <c r="J159" i="7" a="1"/>
  <c r="J160" i="7" a="1"/>
  <c r="J161" i="7" a="1"/>
  <c r="J162" i="7" a="1"/>
  <c r="J163" i="7" a="1"/>
  <c r="J164" i="7" a="1"/>
  <c r="J165" i="7" a="1"/>
  <c r="J166" i="7" a="1"/>
  <c r="J167" i="7" a="1"/>
  <c r="J168" i="7" a="1"/>
  <c r="J169" i="7" a="1"/>
  <c r="J170" i="7" a="1"/>
  <c r="J171" i="7" a="1"/>
  <c r="J172" i="7" a="1"/>
  <c r="J173" i="7" a="1"/>
  <c r="J174" i="7" a="1"/>
  <c r="J175" i="7" a="1"/>
  <c r="J176" i="7" a="1"/>
  <c r="J177" i="7" a="1"/>
  <c r="J178" i="7" a="1"/>
  <c r="J179" i="7" a="1"/>
  <c r="J180" i="7" a="1"/>
  <c r="J181" i="7" a="1"/>
  <c r="J182" i="7" a="1"/>
  <c r="J183" i="7" a="1"/>
  <c r="J184" i="7" a="1"/>
  <c r="J185" i="7" a="1"/>
  <c r="J186" i="7" a="1"/>
  <c r="J187" i="7" a="1"/>
  <c r="J188" i="7" a="1"/>
  <c r="J189" i="7" a="1"/>
  <c r="J190" i="7" a="1"/>
  <c r="J191" i="7" a="1"/>
  <c r="J192" i="7" a="1"/>
  <c r="J193" i="7" a="1"/>
  <c r="J194" i="7" a="1"/>
  <c r="J195" i="7" a="1"/>
  <c r="J196" i="7" a="1"/>
  <c r="J197" i="7" a="1"/>
  <c r="J198" i="7" a="1"/>
  <c r="J199" i="7" a="1"/>
  <c r="J200" i="7" a="1"/>
  <c r="J201" i="7" a="1"/>
  <c r="J202" i="7" a="1"/>
  <c r="J203" i="7" a="1"/>
  <c r="J204" i="7" a="1"/>
  <c r="J205" i="7" a="1"/>
  <c r="J206" i="7" a="1"/>
  <c r="J207" i="7" a="1"/>
  <c r="J208" i="7" a="1"/>
  <c r="J209" i="7" a="1"/>
  <c r="J210" i="7" a="1"/>
  <c r="J211" i="7" a="1"/>
  <c r="J212" i="7" a="1"/>
  <c r="J213" i="7" a="1"/>
  <c r="J214" i="7" a="1"/>
  <c r="J215" i="7" a="1"/>
  <c r="J216" i="7" a="1"/>
  <c r="J217" i="7" a="1"/>
  <c r="J218" i="7" a="1"/>
  <c r="J219" i="7" a="1"/>
  <c r="J220" i="7" a="1"/>
  <c r="J221" i="7" a="1"/>
  <c r="J222" i="7" a="1"/>
  <c r="J223" i="7" a="1"/>
  <c r="J224" i="7" a="1"/>
  <c r="J225" i="7" a="1"/>
  <c r="J226" i="7" a="1"/>
  <c r="J227" i="7" a="1"/>
  <c r="J228" i="7" a="1"/>
  <c r="J229" i="7" a="1"/>
  <c r="J230" i="7" a="1"/>
  <c r="J231" i="7" a="1"/>
  <c r="J232" i="7" a="1"/>
  <c r="J233" i="7" a="1"/>
  <c r="J234" i="7" a="1"/>
  <c r="J235" i="7" a="1"/>
  <c r="J236" i="7" a="1"/>
  <c r="J237" i="7" a="1"/>
  <c r="J238" i="7" a="1"/>
  <c r="J239" i="7" a="1"/>
  <c r="J240" i="7" a="1"/>
  <c r="J241" i="7" a="1"/>
  <c r="J242" i="7" a="1"/>
  <c r="J243" i="7" a="1"/>
  <c r="J244" i="7" a="1"/>
  <c r="J245" i="7" a="1"/>
  <c r="J246" i="7" a="1"/>
  <c r="J247" i="7" a="1"/>
  <c r="J248" i="7" a="1"/>
  <c r="J249" i="7" a="1"/>
  <c r="J250" i="7" a="1"/>
  <c r="J251" i="7" a="1"/>
  <c r="J252" i="7" a="1"/>
  <c r="J253" i="7" a="1"/>
  <c r="J254" i="7" a="1"/>
  <c r="J255" i="7" a="1"/>
  <c r="J256" i="7" a="1"/>
  <c r="J257" i="7" a="1"/>
  <c r="J258" i="7" a="1"/>
  <c r="J259" i="7" a="1"/>
  <c r="J260" i="7" a="1"/>
  <c r="J261" i="7" a="1"/>
  <c r="J262" i="7" a="1"/>
  <c r="J263" i="7" a="1"/>
  <c r="J264" i="7" a="1"/>
  <c r="J265" i="7" a="1"/>
  <c r="J266" i="7" a="1"/>
  <c r="J267" i="7" a="1"/>
  <c r="J268" i="7" a="1"/>
  <c r="J269" i="7" a="1"/>
  <c r="J270" i="7" a="1"/>
  <c r="J271" i="7" a="1"/>
  <c r="J272" i="7" a="1"/>
  <c r="J273" i="7" a="1"/>
  <c r="J274" i="7" a="1"/>
  <c r="J275" i="7" a="1"/>
  <c r="J276" i="7" a="1"/>
  <c r="J277" i="7" a="1"/>
  <c r="J278" i="7" a="1"/>
  <c r="J279" i="7" a="1"/>
  <c r="J280" i="7" a="1"/>
  <c r="J281" i="7" a="1"/>
  <c r="J282" i="7" a="1"/>
  <c r="J283" i="7" a="1"/>
  <c r="J284" i="7" a="1"/>
  <c r="J285" i="7" a="1"/>
  <c r="J286" i="7" a="1"/>
  <c r="J287" i="7" a="1"/>
  <c r="J288" i="7" a="1"/>
  <c r="J289" i="7" a="1"/>
  <c r="J290" i="7" a="1"/>
  <c r="J291" i="7" a="1"/>
  <c r="J292" i="7" a="1"/>
  <c r="J293" i="7" a="1"/>
  <c r="J294" i="7" a="1"/>
  <c r="J295" i="7" a="1"/>
  <c r="J296" i="7" a="1"/>
  <c r="J297" i="7" a="1"/>
  <c r="J298" i="7" a="1"/>
  <c r="J299" i="7" a="1"/>
  <c r="J300" i="7" a="1"/>
  <c r="J301" i="7" a="1"/>
  <c r="J302" i="7" a="1"/>
  <c r="J303" i="7" a="1"/>
  <c r="J304" i="7" a="1"/>
  <c r="J305" i="7" a="1"/>
  <c r="J306" i="7" a="1"/>
  <c r="J307" i="7" a="1"/>
  <c r="J308" i="7" a="1"/>
  <c r="J309" i="7" a="1"/>
  <c r="J310" i="7" a="1"/>
  <c r="J311" i="7" a="1"/>
  <c r="J312" i="7" a="1"/>
  <c r="J313" i="7" a="1"/>
  <c r="J314" i="7" a="1"/>
  <c r="J315" i="7" a="1"/>
  <c r="J316" i="7" a="1"/>
  <c r="J317" i="7" a="1"/>
  <c r="J318" i="7" a="1"/>
  <c r="J319" i="7" a="1"/>
  <c r="J320" i="7" a="1"/>
  <c r="J321" i="7" a="1"/>
  <c r="J322" i="7" a="1"/>
  <c r="J323" i="7" a="1"/>
  <c r="J324" i="7" a="1"/>
  <c r="J325" i="7" a="1"/>
  <c r="J326" i="7" a="1"/>
  <c r="J327" i="7" a="1"/>
  <c r="J328" i="7" a="1"/>
  <c r="J329" i="7" a="1"/>
  <c r="J330" i="7" a="1"/>
  <c r="J331" i="7" a="1"/>
  <c r="J332" i="7" a="1"/>
  <c r="J333" i="7" a="1"/>
  <c r="J334" i="7" a="1"/>
  <c r="J335" i="7" a="1"/>
  <c r="J336" i="7" a="1"/>
  <c r="J337" i="7" a="1"/>
  <c r="J338" i="7" a="1"/>
  <c r="J339" i="7" a="1"/>
  <c r="J340" i="7" a="1"/>
  <c r="J341" i="7" a="1"/>
  <c r="J342" i="7" a="1"/>
  <c r="J343" i="7" a="1"/>
  <c r="J344" i="7" a="1"/>
  <c r="J345" i="7" a="1"/>
  <c r="J346" i="7" a="1"/>
  <c r="J347" i="7" a="1"/>
  <c r="J348" i="7" a="1"/>
  <c r="J349" i="7" a="1"/>
  <c r="J350" i="7" a="1"/>
  <c r="J351" i="7" a="1"/>
  <c r="J352" i="7" a="1"/>
  <c r="J353" i="7" a="1"/>
  <c r="J354" i="7" a="1"/>
  <c r="J355" i="7" a="1"/>
  <c r="J356" i="7" a="1"/>
  <c r="J357" i="7" a="1"/>
  <c r="J358" i="7" a="1"/>
  <c r="J359" i="7" a="1"/>
  <c r="J360" i="7" a="1"/>
  <c r="J361" i="7" a="1"/>
  <c r="J362" i="7" a="1"/>
  <c r="J363" i="7" a="1"/>
  <c r="J364" i="7" a="1"/>
  <c r="J365" i="7" a="1"/>
  <c r="J366" i="7" a="1"/>
  <c r="J367" i="7" a="1"/>
  <c r="J368" i="7" a="1"/>
  <c r="J369" i="7" a="1"/>
  <c r="J370" i="7" a="1"/>
  <c r="J371" i="7" a="1"/>
  <c r="J372" i="7" a="1"/>
  <c r="J373" i="7" a="1"/>
  <c r="J374" i="7" a="1"/>
  <c r="J375" i="7" a="1"/>
  <c r="J376" i="7" a="1"/>
  <c r="J377" i="7" a="1"/>
  <c r="J378" i="7" a="1"/>
  <c r="J379" i="7" a="1"/>
  <c r="J380" i="7" a="1"/>
  <c r="J381" i="7" a="1"/>
  <c r="J382" i="7" a="1"/>
  <c r="J383" i="7" a="1"/>
  <c r="J384" i="7" a="1"/>
  <c r="J385" i="7" a="1"/>
  <c r="J386" i="7" a="1"/>
  <c r="J387" i="7" a="1"/>
  <c r="J388" i="7" a="1"/>
  <c r="J389" i="7" a="1"/>
  <c r="J390" i="7" a="1"/>
  <c r="J391" i="7" a="1"/>
  <c r="J392" i="7" a="1"/>
  <c r="J393" i="7" a="1"/>
  <c r="J394" i="7" a="1"/>
  <c r="J395" i="7" a="1"/>
  <c r="J396" i="7" a="1"/>
  <c r="J397" i="7" a="1"/>
  <c r="J398" i="7" a="1"/>
  <c r="J399" i="7" a="1"/>
  <c r="J400" i="7" a="1"/>
  <c r="J401" i="7" a="1"/>
  <c r="J402" i="7" a="1"/>
  <c r="J403" i="7" a="1"/>
  <c r="J404" i="7" a="1"/>
  <c r="J405" i="7" a="1"/>
  <c r="J406" i="7" a="1"/>
  <c r="J407" i="7" a="1"/>
  <c r="J408" i="7" a="1"/>
  <c r="J409" i="7" a="1"/>
  <c r="J410" i="7" a="1"/>
  <c r="J411" i="7" a="1"/>
  <c r="J412" i="7" a="1"/>
  <c r="J413" i="7" a="1"/>
  <c r="J414" i="7" a="1"/>
  <c r="J415" i="7" a="1"/>
  <c r="J416" i="7" a="1"/>
  <c r="J417" i="7" a="1"/>
  <c r="J418" i="7" a="1"/>
  <c r="J419" i="7" a="1"/>
  <c r="J420" i="7" a="1"/>
  <c r="J421" i="7" a="1"/>
  <c r="J422" i="7" a="1"/>
  <c r="J423" i="7" a="1"/>
  <c r="J424" i="7" a="1"/>
  <c r="J425" i="7" a="1"/>
  <c r="J426" i="7" a="1"/>
  <c r="J427" i="7" a="1"/>
  <c r="J428" i="7" a="1"/>
  <c r="J429" i="7" a="1"/>
  <c r="J430" i="7" a="1"/>
  <c r="J431" i="7" a="1"/>
  <c r="J432" i="7" a="1"/>
  <c r="J433" i="7" a="1"/>
  <c r="J434" i="7" a="1"/>
  <c r="J435" i="7" a="1"/>
  <c r="J436" i="7" a="1"/>
  <c r="J437" i="7" a="1"/>
  <c r="J438" i="7" a="1"/>
  <c r="J439" i="7" a="1"/>
  <c r="J440" i="7" a="1"/>
  <c r="J441" i="7" a="1"/>
  <c r="J442" i="7" a="1"/>
  <c r="J443" i="7" a="1"/>
  <c r="J444" i="7" a="1"/>
  <c r="J445" i="7" a="1"/>
  <c r="J446" i="7" a="1"/>
  <c r="J447" i="7" a="1"/>
  <c r="J448" i="7" a="1"/>
  <c r="J449" i="7" a="1"/>
  <c r="J450" i="7" a="1"/>
  <c r="J451" i="7" a="1"/>
  <c r="J452" i="7" a="1"/>
  <c r="J453" i="7" a="1"/>
  <c r="J454" i="7" a="1"/>
  <c r="J455" i="7" a="1"/>
  <c r="J456" i="7" a="1"/>
  <c r="J457" i="7" a="1"/>
  <c r="J458" i="7" a="1"/>
  <c r="J459" i="7" a="1"/>
  <c r="J460" i="7" a="1"/>
  <c r="J461" i="7" a="1"/>
  <c r="J462" i="7" a="1"/>
  <c r="J463" i="7" a="1"/>
  <c r="J464" i="7" a="1"/>
  <c r="J465" i="7" a="1"/>
  <c r="J466" i="7" a="1"/>
  <c r="J467" i="7" a="1"/>
  <c r="J468" i="7" a="1"/>
  <c r="J469" i="7" a="1"/>
  <c r="J470" i="7" a="1"/>
  <c r="J471" i="7" a="1"/>
  <c r="J472" i="7" a="1"/>
  <c r="J473" i="7" a="1"/>
  <c r="J474" i="7" a="1"/>
  <c r="J475" i="7" a="1"/>
  <c r="J476" i="7" a="1"/>
  <c r="J477" i="7" a="1"/>
  <c r="J478" i="7" a="1"/>
  <c r="J479" i="7" a="1"/>
  <c r="J480" i="7" a="1"/>
  <c r="J481" i="7" a="1"/>
  <c r="J482" i="7" a="1"/>
  <c r="J483" i="7" a="1"/>
  <c r="J484" i="7" a="1"/>
  <c r="J485" i="7" a="1"/>
  <c r="J486" i="7" a="1"/>
  <c r="J487" i="7" a="1"/>
  <c r="J488" i="7" a="1"/>
  <c r="J489" i="7" a="1"/>
  <c r="J490" i="7" a="1"/>
  <c r="J491" i="7" a="1"/>
  <c r="J492" i="7" a="1"/>
  <c r="J493" i="7" a="1"/>
  <c r="J494" i="7" a="1"/>
  <c r="J495" i="7" a="1"/>
  <c r="J496" i="7" a="1"/>
  <c r="J497" i="7" a="1"/>
  <c r="J498" i="7" a="1"/>
  <c r="J499" i="7" a="1"/>
  <c r="J500" i="7" a="1"/>
  <c r="J501" i="7" a="1"/>
  <c r="J502" i="7" a="1"/>
  <c r="J503" i="7" a="1"/>
  <c r="J504" i="7" a="1"/>
  <c r="J505" i="7" a="1"/>
  <c r="J506" i="7" a="1"/>
  <c r="J507" i="7" a="1"/>
  <c r="J508" i="7" a="1"/>
  <c r="J509" i="7" a="1"/>
  <c r="J510" i="7" a="1"/>
  <c r="J511" i="7" a="1"/>
  <c r="J512" i="7" a="1"/>
  <c r="J513" i="7" a="1"/>
  <c r="J514" i="7" a="1"/>
  <c r="J515" i="7" a="1"/>
  <c r="J516" i="7" a="1"/>
  <c r="J517" i="7" a="1"/>
  <c r="J518" i="7" a="1"/>
  <c r="J519" i="7" a="1"/>
  <c r="J520" i="7" a="1"/>
  <c r="J521" i="7" a="1"/>
  <c r="J522" i="7" a="1"/>
  <c r="J523" i="7" a="1"/>
  <c r="J524" i="7" a="1"/>
  <c r="J525" i="7" a="1"/>
  <c r="J526" i="7" a="1"/>
  <c r="J527" i="7" a="1"/>
  <c r="J528" i="7" a="1"/>
  <c r="J529" i="7" a="1"/>
  <c r="J530" i="7" a="1"/>
  <c r="J531" i="7" a="1"/>
  <c r="J532" i="7" a="1"/>
  <c r="J533" i="7" a="1"/>
  <c r="J534" i="7" a="1"/>
  <c r="J535" i="7" a="1"/>
  <c r="J536" i="7" a="1"/>
  <c r="J537" i="7" a="1"/>
  <c r="J538" i="7" a="1"/>
  <c r="J539" i="7" a="1"/>
  <c r="J540" i="7" a="1"/>
  <c r="J541" i="7" a="1"/>
  <c r="J542" i="7" a="1"/>
  <c r="J543" i="7" a="1"/>
  <c r="J544" i="7" a="1"/>
  <c r="J545" i="7" a="1"/>
  <c r="J546" i="7" a="1"/>
  <c r="J547" i="7" a="1"/>
  <c r="J548" i="7" a="1"/>
  <c r="J549" i="7" a="1"/>
  <c r="J550" i="7" a="1"/>
  <c r="J551" i="7" a="1"/>
  <c r="J552" i="7" a="1"/>
  <c r="J553" i="7" a="1"/>
  <c r="J554" i="7" a="1"/>
  <c r="J555" i="7" a="1"/>
  <c r="J556" i="7" a="1"/>
  <c r="J557" i="7" a="1"/>
  <c r="J558" i="7" a="1"/>
  <c r="J559" i="7" a="1"/>
  <c r="J560" i="7" a="1"/>
  <c r="J561" i="7" a="1"/>
  <c r="J562" i="7" a="1"/>
  <c r="J563" i="7" a="1"/>
  <c r="J564" i="7" a="1"/>
  <c r="J565" i="7" a="1"/>
  <c r="J566" i="7" a="1"/>
  <c r="J567" i="7" a="1"/>
  <c r="J568" i="7" a="1"/>
  <c r="J569" i="7" a="1"/>
  <c r="J570" i="7" a="1"/>
  <c r="J571" i="7" a="1"/>
  <c r="J572" i="7" a="1"/>
  <c r="J573" i="7" a="1"/>
  <c r="J574" i="7" a="1"/>
  <c r="J575" i="7" a="1"/>
  <c r="J576" i="7" a="1"/>
  <c r="J577" i="7" a="1"/>
  <c r="J578" i="7" a="1"/>
  <c r="J579" i="7" a="1"/>
  <c r="J580" i="7" a="1"/>
  <c r="J581" i="7" a="1"/>
  <c r="J582" i="7" a="1"/>
  <c r="J583" i="7" a="1"/>
  <c r="J584" i="7" a="1"/>
  <c r="J585" i="7" a="1"/>
  <c r="J586" i="7" a="1"/>
  <c r="J587" i="7" a="1"/>
  <c r="J588" i="7" a="1"/>
  <c r="J589" i="7" a="1"/>
  <c r="J590" i="7" a="1"/>
  <c r="J591" i="7" a="1"/>
  <c r="J592" i="7" a="1"/>
  <c r="J593" i="7" a="1"/>
  <c r="J594" i="7" a="1"/>
  <c r="J595" i="7" a="1"/>
  <c r="J596" i="7" a="1"/>
  <c r="J597" i="7" a="1"/>
  <c r="J598" i="7" a="1"/>
  <c r="J599" i="7" a="1"/>
  <c r="J600" i="7" a="1"/>
  <c r="J601" i="7" a="1"/>
  <c r="J602" i="7" a="1"/>
  <c r="J603" i="7" a="1"/>
  <c r="J604" i="7" a="1"/>
  <c r="J605" i="7" a="1"/>
  <c r="J606" i="7" a="1"/>
  <c r="J607" i="7" a="1"/>
  <c r="J608" i="7" a="1"/>
  <c r="J609" i="7" a="1"/>
  <c r="J610" i="7" a="1"/>
  <c r="J611" i="7" a="1"/>
  <c r="J612" i="7" a="1"/>
  <c r="J613" i="7" a="1"/>
  <c r="J614" i="7" a="1"/>
  <c r="J615" i="7" a="1"/>
  <c r="J616" i="7" a="1"/>
  <c r="J617" i="7" a="1"/>
  <c r="J618" i="7" a="1"/>
  <c r="J619" i="7" a="1"/>
  <c r="J620" i="7" a="1"/>
  <c r="J621" i="7" a="1"/>
  <c r="J622" i="7" a="1"/>
  <c r="J623" i="7" a="1"/>
  <c r="J624" i="7" a="1"/>
  <c r="J625" i="7" a="1"/>
  <c r="J626" i="7" a="1"/>
  <c r="J627" i="7" a="1"/>
  <c r="J628" i="7" a="1"/>
  <c r="J629" i="7" a="1"/>
  <c r="J630" i="7" a="1"/>
  <c r="J631" i="7" a="1"/>
  <c r="J632" i="7" a="1"/>
  <c r="J633" i="7" a="1"/>
  <c r="J634" i="7" a="1"/>
  <c r="J635" i="7" a="1"/>
  <c r="J636" i="7" a="1"/>
  <c r="J637" i="7" a="1"/>
  <c r="J638" i="7" a="1"/>
  <c r="J639" i="7" a="1"/>
  <c r="J640" i="7" a="1"/>
  <c r="J641" i="7" a="1"/>
  <c r="J642" i="7" a="1"/>
  <c r="J643" i="7" a="1"/>
  <c r="J644" i="7" a="1"/>
  <c r="J645" i="7" a="1"/>
  <c r="J646" i="7" a="1"/>
  <c r="J647" i="7" a="1"/>
  <c r="J648" i="7" a="1"/>
  <c r="J649" i="7" a="1"/>
  <c r="J650" i="7" a="1"/>
  <c r="J651" i="7" a="1"/>
  <c r="J652" i="7" a="1"/>
  <c r="J653" i="7" a="1"/>
  <c r="J654" i="7" a="1"/>
  <c r="J655" i="7" a="1"/>
  <c r="J656" i="7" a="1"/>
  <c r="J657" i="7" a="1"/>
  <c r="J658" i="7" a="1"/>
  <c r="J659" i="7" a="1"/>
  <c r="J660" i="7" a="1"/>
  <c r="J661" i="7" a="1"/>
  <c r="J662" i="7" a="1"/>
  <c r="J663" i="7" a="1"/>
  <c r="J664" i="7" a="1"/>
  <c r="J665" i="7" a="1"/>
  <c r="J666" i="7" a="1"/>
  <c r="J667" i="7" a="1"/>
  <c r="J668" i="7" a="1"/>
  <c r="J669" i="7" a="1"/>
  <c r="J670" i="7" a="1"/>
  <c r="J671" i="7" a="1"/>
  <c r="J672" i="7" a="1"/>
  <c r="J673" i="7" a="1"/>
  <c r="J674" i="7" a="1"/>
  <c r="J675" i="7" a="1"/>
  <c r="J676" i="7" a="1"/>
  <c r="J677" i="7" a="1"/>
  <c r="J678" i="7" a="1"/>
  <c r="J679" i="7" a="1"/>
  <c r="J680" i="7" a="1"/>
  <c r="J681" i="7" a="1"/>
  <c r="J682" i="7" a="1"/>
  <c r="J683" i="7" a="1"/>
  <c r="J684" i="7" a="1"/>
  <c r="J685" i="7" a="1"/>
  <c r="J686" i="7" a="1"/>
  <c r="J687" i="7" a="1"/>
  <c r="J688" i="7" a="1"/>
  <c r="J689" i="7" a="1"/>
  <c r="J690" i="7" a="1"/>
  <c r="J691" i="7" a="1"/>
  <c r="J692" i="7" a="1"/>
  <c r="J693" i="7" a="1"/>
  <c r="J694" i="7" a="1"/>
  <c r="J695" i="7" a="1"/>
  <c r="J696" i="7" a="1"/>
  <c r="J697" i="7" a="1"/>
  <c r="J698" i="7" a="1"/>
  <c r="J699" i="7" a="1"/>
  <c r="J700" i="7" a="1"/>
  <c r="J701" i="7" a="1"/>
  <c r="J702" i="7" a="1"/>
  <c r="J703" i="7" a="1"/>
  <c r="J704" i="7" a="1"/>
  <c r="J705" i="7" a="1"/>
  <c r="J706" i="7" a="1"/>
  <c r="J707" i="7" a="1"/>
  <c r="J708" i="7" a="1"/>
  <c r="J709" i="7" a="1"/>
  <c r="J710" i="7" a="1"/>
  <c r="J711" i="7" a="1"/>
  <c r="J712" i="7" a="1"/>
  <c r="J713" i="7" a="1"/>
  <c r="J714" i="7" a="1"/>
  <c r="J715" i="7" a="1"/>
  <c r="J716" i="7" a="1"/>
  <c r="J717" i="7" a="1"/>
  <c r="J718" i="7" a="1"/>
  <c r="J719" i="7" a="1"/>
  <c r="J720" i="7" a="1"/>
  <c r="J721" i="7" a="1"/>
  <c r="J722" i="7" a="1"/>
  <c r="J723" i="7" a="1"/>
  <c r="J724" i="7" a="1"/>
  <c r="J725" i="7" a="1"/>
  <c r="J726" i="7" a="1"/>
  <c r="J727" i="7" a="1"/>
  <c r="J728" i="7" a="1"/>
  <c r="J729" i="7" a="1"/>
  <c r="J730" i="7" a="1"/>
  <c r="J731" i="7" a="1"/>
  <c r="J732" i="7" a="1"/>
  <c r="J733" i="7" a="1"/>
  <c r="J734" i="7" a="1"/>
  <c r="J735" i="7" a="1"/>
  <c r="J736" i="7" a="1"/>
  <c r="J737" i="7" a="1"/>
  <c r="J738" i="7" a="1"/>
  <c r="J739" i="7" a="1"/>
  <c r="J740" i="7" a="1"/>
  <c r="J741" i="7" a="1"/>
  <c r="J742" i="7" a="1"/>
  <c r="J743" i="7" a="1"/>
  <c r="J744" i="7" a="1"/>
  <c r="J745" i="7" a="1"/>
  <c r="J746" i="7" a="1"/>
  <c r="J747" i="7" a="1"/>
  <c r="J748" i="7" a="1"/>
  <c r="J749" i="7" a="1"/>
  <c r="J750" i="7" a="1"/>
  <c r="J751" i="7" a="1"/>
  <c r="J752" i="7" a="1"/>
  <c r="J753" i="7" a="1"/>
  <c r="J754" i="7" a="1"/>
  <c r="J755" i="7" a="1"/>
  <c r="J756" i="7" a="1"/>
  <c r="J757" i="7" a="1"/>
  <c r="J758" i="7" a="1"/>
  <c r="J759" i="7" a="1"/>
  <c r="J760" i="7" a="1"/>
  <c r="J761" i="7" a="1"/>
  <c r="J762" i="7" a="1"/>
  <c r="J763" i="7" a="1"/>
  <c r="J764" i="7" a="1"/>
  <c r="J765" i="7" a="1"/>
  <c r="J766" i="7" a="1"/>
  <c r="J767" i="7" a="1"/>
  <c r="J768" i="7" a="1"/>
  <c r="J769" i="7" a="1"/>
  <c r="J770" i="7" a="1"/>
  <c r="J771" i="7" a="1"/>
  <c r="J772" i="7" a="1"/>
  <c r="J773" i="7" a="1"/>
  <c r="J774" i="7" a="1"/>
  <c r="J775" i="7" a="1"/>
  <c r="J776" i="7" a="1"/>
  <c r="J777" i="7" a="1"/>
  <c r="J778" i="7" a="1"/>
  <c r="J779" i="7" a="1"/>
  <c r="J780" i="7" a="1"/>
  <c r="J781" i="7" a="1"/>
  <c r="J782" i="7" a="1"/>
  <c r="J783" i="7" a="1"/>
  <c r="J784" i="7" a="1"/>
  <c r="J785" i="7" a="1"/>
  <c r="J786" i="7" a="1"/>
  <c r="J787" i="7" a="1"/>
  <c r="J788" i="7" a="1"/>
  <c r="J789" i="7" a="1"/>
  <c r="J790" i="7" a="1"/>
  <c r="J791" i="7" a="1"/>
  <c r="J792" i="7" a="1"/>
  <c r="J793" i="7" a="1"/>
  <c r="J794" i="7" a="1"/>
  <c r="J795" i="7" a="1"/>
  <c r="J796" i="7" a="1"/>
  <c r="J797" i="7" a="1"/>
  <c r="J798" i="7" a="1"/>
  <c r="J799" i="7" a="1"/>
  <c r="J800" i="7" a="1"/>
  <c r="J801" i="7" a="1"/>
  <c r="J802" i="7" a="1"/>
  <c r="J803" i="7" a="1"/>
  <c r="J804" i="7" a="1"/>
  <c r="J805" i="7" a="1"/>
  <c r="J806" i="7" a="1"/>
  <c r="J807" i="7" a="1"/>
  <c r="J808" i="7" a="1"/>
  <c r="J809" i="7" a="1"/>
  <c r="J810" i="7" a="1"/>
  <c r="J811" i="7" a="1"/>
  <c r="J812" i="7" a="1"/>
  <c r="J813" i="7" a="1"/>
  <c r="J814" i="7" a="1"/>
  <c r="J815" i="7" a="1"/>
  <c r="J816" i="7" a="1"/>
  <c r="J817" i="7" a="1"/>
  <c r="J818" i="7" a="1"/>
  <c r="J819" i="7" a="1"/>
  <c r="J820" i="7" a="1"/>
  <c r="J821" i="7" a="1"/>
  <c r="J822" i="7" a="1"/>
  <c r="J823" i="7" a="1"/>
  <c r="J824" i="7" a="1"/>
  <c r="J825" i="7" a="1"/>
  <c r="J826" i="7" a="1"/>
  <c r="J827" i="7" a="1"/>
  <c r="J828" i="7" a="1"/>
  <c r="J829" i="7" a="1"/>
  <c r="J830" i="7" a="1"/>
  <c r="J831" i="7" a="1"/>
  <c r="J832" i="7" a="1"/>
  <c r="J833" i="7" a="1"/>
  <c r="J834" i="7" a="1"/>
  <c r="J835" i="7" a="1"/>
  <c r="J836" i="7" a="1"/>
  <c r="J837" i="7" a="1"/>
  <c r="J838" i="7" a="1"/>
  <c r="J839" i="7" a="1"/>
  <c r="J840" i="7" a="1"/>
  <c r="J841" i="7" a="1"/>
  <c r="J842" i="7" a="1"/>
  <c r="J843" i="7" a="1"/>
  <c r="J844" i="7" a="1"/>
  <c r="J845" i="7" a="1"/>
  <c r="J846" i="7" a="1"/>
  <c r="J847" i="7" a="1"/>
  <c r="J848" i="7" a="1"/>
  <c r="J849" i="7" a="1"/>
  <c r="J850" i="7" a="1"/>
  <c r="J851" i="7" a="1"/>
  <c r="J852" i="7" a="1"/>
  <c r="J853" i="7" a="1"/>
  <c r="J854" i="7" a="1"/>
  <c r="J855" i="7" a="1"/>
  <c r="J856" i="7" a="1"/>
  <c r="J857" i="7" a="1"/>
  <c r="J858" i="7" a="1"/>
  <c r="J859" i="7" a="1"/>
  <c r="J860" i="7" a="1"/>
  <c r="J861" i="7" a="1"/>
  <c r="J862" i="7" a="1"/>
  <c r="J863" i="7" a="1"/>
  <c r="J864" i="7" a="1"/>
  <c r="J865" i="7" a="1"/>
  <c r="J866" i="7" a="1"/>
  <c r="J867" i="7" a="1"/>
  <c r="J868" i="7" a="1"/>
  <c r="J869" i="7" a="1"/>
  <c r="J870" i="7" a="1"/>
  <c r="J871" i="7" a="1"/>
  <c r="J872" i="7" a="1"/>
  <c r="J873" i="7" a="1"/>
  <c r="J874" i="7" a="1"/>
  <c r="J875" i="7" a="1"/>
  <c r="J876" i="7" a="1"/>
  <c r="J877" i="7" a="1"/>
  <c r="J878" i="7" a="1"/>
  <c r="J879" i="7" a="1"/>
  <c r="J880" i="7" a="1"/>
  <c r="J881" i="7" a="1"/>
  <c r="J882" i="7" a="1"/>
  <c r="J883" i="7" a="1"/>
  <c r="J884" i="7" a="1"/>
  <c r="J885" i="7" a="1"/>
  <c r="J886" i="7" a="1"/>
  <c r="J887" i="7" a="1"/>
  <c r="J888" i="7" a="1"/>
  <c r="J889" i="7" a="1"/>
  <c r="J890" i="7" a="1"/>
  <c r="J891" i="7" a="1"/>
  <c r="J892" i="7" a="1"/>
  <c r="J893" i="7" a="1"/>
  <c r="J894" i="7" a="1"/>
  <c r="J895" i="7" a="1"/>
  <c r="J896" i="7" a="1"/>
  <c r="J897" i="7" a="1"/>
  <c r="J898" i="7" a="1"/>
  <c r="J899" i="7" a="1"/>
  <c r="J900" i="7" a="1"/>
  <c r="J901" i="7" a="1"/>
  <c r="J902" i="7" a="1"/>
  <c r="J903" i="7" a="1"/>
  <c r="J904" i="7" a="1"/>
  <c r="J905" i="7" a="1"/>
  <c r="J906" i="7" a="1"/>
  <c r="J907" i="7" a="1"/>
  <c r="J908" i="7" a="1"/>
  <c r="J909" i="7" a="1"/>
  <c r="J910" i="7" a="1"/>
  <c r="J911" i="7" a="1"/>
  <c r="J912" i="7" a="1"/>
  <c r="J913" i="7" a="1"/>
  <c r="J914" i="7" a="1"/>
  <c r="J915" i="7" a="1"/>
  <c r="J916" i="7" a="1"/>
  <c r="J917" i="7" a="1"/>
  <c r="J918" i="7" a="1"/>
  <c r="J919" i="7" a="1"/>
  <c r="J920" i="7" a="1"/>
  <c r="J921" i="7" a="1"/>
  <c r="J922" i="7" a="1"/>
  <c r="J923" i="7" a="1"/>
  <c r="J924" i="7" a="1"/>
  <c r="J925" i="7" a="1"/>
  <c r="J926" i="7" a="1"/>
  <c r="J927" i="7" a="1"/>
  <c r="J928" i="7" a="1"/>
  <c r="J929" i="7" a="1"/>
  <c r="J930" i="7" a="1"/>
  <c r="J931" i="7" a="1"/>
  <c r="J932" i="7" a="1"/>
  <c r="J933" i="7" a="1"/>
  <c r="J934" i="7" a="1"/>
  <c r="J935" i="7" a="1"/>
  <c r="J936" i="7" a="1"/>
  <c r="J937" i="7" a="1"/>
  <c r="J938" i="7" a="1"/>
  <c r="J939" i="7" a="1"/>
  <c r="J940" i="7" a="1"/>
  <c r="J941" i="7" a="1"/>
  <c r="J942" i="7" a="1"/>
  <c r="J943" i="7" a="1"/>
  <c r="J944" i="7" a="1"/>
  <c r="J945" i="7" a="1"/>
  <c r="J946" i="7" a="1"/>
  <c r="J947" i="7" a="1"/>
  <c r="J948" i="7" a="1"/>
  <c r="J949" i="7" a="1"/>
  <c r="J950" i="7" a="1"/>
  <c r="J951" i="7" a="1"/>
  <c r="J952" i="7" a="1"/>
  <c r="J953" i="7" a="1"/>
  <c r="J954" i="7" a="1"/>
  <c r="J955" i="7" a="1"/>
  <c r="J956" i="7" a="1"/>
  <c r="J957" i="7" a="1"/>
  <c r="J958" i="7" a="1"/>
  <c r="J959" i="7" a="1"/>
  <c r="J960" i="7" a="1"/>
  <c r="J961" i="7" a="1"/>
  <c r="J962" i="7" a="1"/>
  <c r="J963" i="7" a="1"/>
  <c r="J964" i="7" a="1"/>
  <c r="J965" i="7" a="1"/>
  <c r="J966" i="7" a="1"/>
  <c r="J967" i="7" a="1"/>
  <c r="J968" i="7" a="1"/>
  <c r="J969" i="7" a="1"/>
  <c r="J970" i="7" a="1"/>
  <c r="J971" i="7" a="1"/>
  <c r="J972" i="7" a="1"/>
  <c r="J973" i="7" a="1"/>
  <c r="J974" i="7" a="1"/>
  <c r="J975" i="7" a="1"/>
  <c r="J976" i="7" a="1"/>
  <c r="J977" i="7" a="1"/>
  <c r="J978" i="7" a="1"/>
  <c r="J979" i="7" a="1"/>
  <c r="J980" i="7" a="1"/>
  <c r="J981" i="7" a="1"/>
  <c r="J982" i="7" a="1"/>
  <c r="J983" i="7" a="1"/>
  <c r="J984" i="7" a="1"/>
  <c r="J985" i="7" a="1"/>
  <c r="J986" i="7" a="1"/>
  <c r="J987" i="7" a="1"/>
  <c r="J988" i="7" a="1"/>
  <c r="J989" i="7" a="1"/>
  <c r="J990" i="7" a="1"/>
  <c r="J991" i="7" a="1"/>
  <c r="J992" i="7" a="1"/>
  <c r="J993" i="7" a="1"/>
  <c r="J994" i="7" a="1"/>
  <c r="J995" i="7" a="1"/>
  <c r="J996" i="7" a="1"/>
  <c r="J997" i="7" a="1"/>
  <c r="J998" i="7" a="1"/>
  <c r="J999" i="7" a="1"/>
  <c r="J1000" i="7" a="1"/>
  <c r="J2" i="7" a="1"/>
  <c r="C11" i="8"/>
  <c r="B1000" i="7"/>
  <c r="B999" i="7"/>
  <c r="B998" i="7"/>
  <c r="B997" i="7"/>
  <c r="B996" i="7"/>
  <c r="B995" i="7"/>
  <c r="B994" i="7"/>
  <c r="B993" i="7"/>
  <c r="B992" i="7"/>
  <c r="B991" i="7"/>
  <c r="B990" i="7"/>
  <c r="B989" i="7"/>
  <c r="B988" i="7"/>
  <c r="B987" i="7"/>
  <c r="B986" i="7"/>
  <c r="B985" i="7"/>
  <c r="B984" i="7"/>
  <c r="B983" i="7"/>
  <c r="B982" i="7"/>
  <c r="B981" i="7"/>
  <c r="B980" i="7"/>
  <c r="B979" i="7"/>
  <c r="B978" i="7"/>
  <c r="B977" i="7"/>
  <c r="B976" i="7"/>
  <c r="B975" i="7"/>
  <c r="B974" i="7"/>
  <c r="B973" i="7"/>
  <c r="B972" i="7"/>
  <c r="B971" i="7"/>
  <c r="B970" i="7"/>
  <c r="B969" i="7"/>
  <c r="B968" i="7"/>
  <c r="B967" i="7"/>
  <c r="B966" i="7"/>
  <c r="B965" i="7"/>
  <c r="B964" i="7"/>
  <c r="B963" i="7"/>
  <c r="B962" i="7"/>
  <c r="B961" i="7"/>
  <c r="B960" i="7"/>
  <c r="B959" i="7"/>
  <c r="B958" i="7"/>
  <c r="B957" i="7"/>
  <c r="B956" i="7"/>
  <c r="B955" i="7"/>
  <c r="B954" i="7"/>
  <c r="B953" i="7"/>
  <c r="B952" i="7"/>
  <c r="B951" i="7"/>
  <c r="B950" i="7"/>
  <c r="B949" i="7"/>
  <c r="B948" i="7"/>
  <c r="B947" i="7"/>
  <c r="B946" i="7"/>
  <c r="B945" i="7"/>
  <c r="B944" i="7"/>
  <c r="B943" i="7"/>
  <c r="B942" i="7"/>
  <c r="B941" i="7"/>
  <c r="B940" i="7"/>
  <c r="B939" i="7"/>
  <c r="B938" i="7"/>
  <c r="B937" i="7"/>
  <c r="B936" i="7"/>
  <c r="B935" i="7"/>
  <c r="B934" i="7"/>
  <c r="B933" i="7"/>
  <c r="B932" i="7"/>
  <c r="B931" i="7"/>
  <c r="B930" i="7"/>
  <c r="B929" i="7"/>
  <c r="B928" i="7"/>
  <c r="B927" i="7"/>
  <c r="B926" i="7"/>
  <c r="B925" i="7"/>
  <c r="B924" i="7"/>
  <c r="B923" i="7"/>
  <c r="B922" i="7"/>
  <c r="B921" i="7"/>
  <c r="B920" i="7"/>
  <c r="B919" i="7"/>
  <c r="B918" i="7"/>
  <c r="B917" i="7"/>
  <c r="B916" i="7"/>
  <c r="B915" i="7"/>
  <c r="B914" i="7"/>
  <c r="B913" i="7"/>
  <c r="B912" i="7"/>
  <c r="B911" i="7"/>
  <c r="B910" i="7"/>
  <c r="B909" i="7"/>
  <c r="B908" i="7"/>
  <c r="B907" i="7"/>
  <c r="B906" i="7"/>
  <c r="B905" i="7"/>
  <c r="B904" i="7"/>
  <c r="B903" i="7"/>
  <c r="B902" i="7"/>
  <c r="B901" i="7"/>
  <c r="B900" i="7"/>
  <c r="B899" i="7"/>
  <c r="B898" i="7"/>
  <c r="B897" i="7"/>
  <c r="B896" i="7"/>
  <c r="B895" i="7"/>
  <c r="B894" i="7"/>
  <c r="B893" i="7"/>
  <c r="B892" i="7"/>
  <c r="B891" i="7"/>
  <c r="B890" i="7"/>
  <c r="B889" i="7"/>
  <c r="B888" i="7"/>
  <c r="B887" i="7"/>
  <c r="B886" i="7"/>
  <c r="B885" i="7"/>
  <c r="B884" i="7"/>
  <c r="B883" i="7"/>
  <c r="B882" i="7"/>
  <c r="B881" i="7"/>
  <c r="B880" i="7"/>
  <c r="B879" i="7"/>
  <c r="B878" i="7"/>
  <c r="B877" i="7"/>
  <c r="B876" i="7"/>
  <c r="B875" i="7"/>
  <c r="B874" i="7"/>
  <c r="B873" i="7"/>
  <c r="B872" i="7"/>
  <c r="B871" i="7"/>
  <c r="B870" i="7"/>
  <c r="B869" i="7"/>
  <c r="B868" i="7"/>
  <c r="B867" i="7"/>
  <c r="B866" i="7"/>
  <c r="B865" i="7"/>
  <c r="B864" i="7"/>
  <c r="B863" i="7"/>
  <c r="B862" i="7"/>
  <c r="B861" i="7"/>
  <c r="B860" i="7"/>
  <c r="B859" i="7"/>
  <c r="B858" i="7"/>
  <c r="B857" i="7"/>
  <c r="B856" i="7"/>
  <c r="B855" i="7"/>
  <c r="B854" i="7"/>
  <c r="B853" i="7"/>
  <c r="B852" i="7"/>
  <c r="B851" i="7"/>
  <c r="B850" i="7"/>
  <c r="B849" i="7"/>
  <c r="B848" i="7"/>
  <c r="B847" i="7"/>
  <c r="B846" i="7"/>
  <c r="B845" i="7"/>
  <c r="B844" i="7"/>
  <c r="B843" i="7"/>
  <c r="B842" i="7"/>
  <c r="B841" i="7"/>
  <c r="B840" i="7"/>
  <c r="B839" i="7"/>
  <c r="B838" i="7"/>
  <c r="B837" i="7"/>
  <c r="B836" i="7"/>
  <c r="B835" i="7"/>
  <c r="B834" i="7"/>
  <c r="B833" i="7"/>
  <c r="B832" i="7"/>
  <c r="B831" i="7"/>
  <c r="B830" i="7"/>
  <c r="B829" i="7"/>
  <c r="B828" i="7"/>
  <c r="B827" i="7"/>
  <c r="B826" i="7"/>
  <c r="B825" i="7"/>
  <c r="B824" i="7"/>
  <c r="B823" i="7"/>
  <c r="B822" i="7"/>
  <c r="B821" i="7"/>
  <c r="B820" i="7"/>
  <c r="B819" i="7"/>
  <c r="B818" i="7"/>
  <c r="B817" i="7"/>
  <c r="B816" i="7"/>
  <c r="B815" i="7"/>
  <c r="B814" i="7"/>
  <c r="B813" i="7"/>
  <c r="B812" i="7"/>
  <c r="B811" i="7"/>
  <c r="B810" i="7"/>
  <c r="B809" i="7"/>
  <c r="B808" i="7"/>
  <c r="B807" i="7"/>
  <c r="B806" i="7"/>
  <c r="B805" i="7"/>
  <c r="B804" i="7"/>
  <c r="B803" i="7"/>
  <c r="B802" i="7"/>
  <c r="B801" i="7"/>
  <c r="B800" i="7"/>
  <c r="B799" i="7"/>
  <c r="B798" i="7"/>
  <c r="B797" i="7"/>
  <c r="B796" i="7"/>
  <c r="B795" i="7"/>
  <c r="B794" i="7"/>
  <c r="B793" i="7"/>
  <c r="B792" i="7"/>
  <c r="B791" i="7"/>
  <c r="B790" i="7"/>
  <c r="B789" i="7"/>
  <c r="B788" i="7"/>
  <c r="B787" i="7"/>
  <c r="B786" i="7"/>
  <c r="B785" i="7"/>
  <c r="B784" i="7"/>
  <c r="B783" i="7"/>
  <c r="B782" i="7"/>
  <c r="B781" i="7"/>
  <c r="B780" i="7"/>
  <c r="B779" i="7"/>
  <c r="B778" i="7"/>
  <c r="B777" i="7"/>
  <c r="B776" i="7"/>
  <c r="B775" i="7"/>
  <c r="B774" i="7"/>
  <c r="B773" i="7"/>
  <c r="B772" i="7"/>
  <c r="B771" i="7"/>
  <c r="B770" i="7"/>
  <c r="B769" i="7"/>
  <c r="B768" i="7"/>
  <c r="B767" i="7"/>
  <c r="B766" i="7"/>
  <c r="B765" i="7"/>
  <c r="B764" i="7"/>
  <c r="B763" i="7"/>
  <c r="B762" i="7"/>
  <c r="B761" i="7"/>
  <c r="B760" i="7"/>
  <c r="B759" i="7"/>
  <c r="B758" i="7"/>
  <c r="B757" i="7"/>
  <c r="B756" i="7"/>
  <c r="B755" i="7"/>
  <c r="B754" i="7"/>
  <c r="B753" i="7"/>
  <c r="B752" i="7"/>
  <c r="B751" i="7"/>
  <c r="B750" i="7"/>
  <c r="B749" i="7"/>
  <c r="B748" i="7"/>
  <c r="B747" i="7"/>
  <c r="B746" i="7"/>
  <c r="B745" i="7"/>
  <c r="B744" i="7"/>
  <c r="B743" i="7"/>
  <c r="B742" i="7"/>
  <c r="B741" i="7"/>
  <c r="B740" i="7"/>
  <c r="B739" i="7"/>
  <c r="B738" i="7"/>
  <c r="B737" i="7"/>
  <c r="B736" i="7"/>
  <c r="B735" i="7"/>
  <c r="B734" i="7"/>
  <c r="B733" i="7"/>
  <c r="B732" i="7"/>
  <c r="B731" i="7"/>
  <c r="B730" i="7"/>
  <c r="B729" i="7"/>
  <c r="B728" i="7"/>
  <c r="B727" i="7"/>
  <c r="B726" i="7"/>
  <c r="B725" i="7"/>
  <c r="B724" i="7"/>
  <c r="B723" i="7"/>
  <c r="B722" i="7"/>
  <c r="B721" i="7"/>
  <c r="B720" i="7"/>
  <c r="B719" i="7"/>
  <c r="B718" i="7"/>
  <c r="B717" i="7"/>
  <c r="B716" i="7"/>
  <c r="B715" i="7"/>
  <c r="B714" i="7"/>
  <c r="B713" i="7"/>
  <c r="B712" i="7"/>
  <c r="B711" i="7"/>
  <c r="B710" i="7"/>
  <c r="B709" i="7"/>
  <c r="B708" i="7"/>
  <c r="B707" i="7"/>
  <c r="B706" i="7"/>
  <c r="B705" i="7"/>
  <c r="B704" i="7"/>
  <c r="B703" i="7"/>
  <c r="B702" i="7"/>
  <c r="B701" i="7"/>
  <c r="B700" i="7"/>
  <c r="B699" i="7"/>
  <c r="B698" i="7"/>
  <c r="B697" i="7"/>
  <c r="B696" i="7"/>
  <c r="B695" i="7"/>
  <c r="B694" i="7"/>
  <c r="B693" i="7"/>
  <c r="B692" i="7"/>
  <c r="B691" i="7"/>
  <c r="B690" i="7"/>
  <c r="B689" i="7"/>
  <c r="B688" i="7"/>
  <c r="B687" i="7"/>
  <c r="B686" i="7"/>
  <c r="B685" i="7"/>
  <c r="B684" i="7"/>
  <c r="B683" i="7"/>
  <c r="B682" i="7"/>
  <c r="B681" i="7"/>
  <c r="B680" i="7"/>
  <c r="B679" i="7"/>
  <c r="B678" i="7"/>
  <c r="B677" i="7"/>
  <c r="B676" i="7"/>
  <c r="B675" i="7"/>
  <c r="B674" i="7"/>
  <c r="B673" i="7"/>
  <c r="B672" i="7"/>
  <c r="B671" i="7"/>
  <c r="B670" i="7"/>
  <c r="B669" i="7"/>
  <c r="B668" i="7"/>
  <c r="B667" i="7"/>
  <c r="B666" i="7"/>
  <c r="B665" i="7"/>
  <c r="B664" i="7"/>
  <c r="B663" i="7"/>
  <c r="B662" i="7"/>
  <c r="B661" i="7"/>
  <c r="B660" i="7"/>
  <c r="B659" i="7"/>
  <c r="B658" i="7"/>
  <c r="B657" i="7"/>
  <c r="B656" i="7"/>
  <c r="B655" i="7"/>
  <c r="B654" i="7"/>
  <c r="B653" i="7"/>
  <c r="B652" i="7"/>
  <c r="B651" i="7"/>
  <c r="B650" i="7"/>
  <c r="B649" i="7"/>
  <c r="B648" i="7"/>
  <c r="B647" i="7"/>
  <c r="B646" i="7"/>
  <c r="B645" i="7"/>
  <c r="B644" i="7"/>
  <c r="B643" i="7"/>
  <c r="B642" i="7"/>
  <c r="B641" i="7"/>
  <c r="B640" i="7"/>
  <c r="B639" i="7"/>
  <c r="B638" i="7"/>
  <c r="B637" i="7"/>
  <c r="B636" i="7"/>
  <c r="B635" i="7"/>
  <c r="B634" i="7"/>
  <c r="B633" i="7"/>
  <c r="B632" i="7"/>
  <c r="B631" i="7"/>
  <c r="B630" i="7"/>
  <c r="B629" i="7"/>
  <c r="B628" i="7"/>
  <c r="B627" i="7"/>
  <c r="B626" i="7"/>
  <c r="B625" i="7"/>
  <c r="B624" i="7"/>
  <c r="B623" i="7"/>
  <c r="B622" i="7"/>
  <c r="B621" i="7"/>
  <c r="B620" i="7"/>
  <c r="B619" i="7"/>
  <c r="B618" i="7"/>
  <c r="B617" i="7"/>
  <c r="B616" i="7"/>
  <c r="B615" i="7"/>
  <c r="B614" i="7"/>
  <c r="B613" i="7"/>
  <c r="B612" i="7"/>
  <c r="B611" i="7"/>
  <c r="B610" i="7"/>
  <c r="B609" i="7"/>
  <c r="B608" i="7"/>
  <c r="B607" i="7"/>
  <c r="B606" i="7"/>
  <c r="B605" i="7"/>
  <c r="B604" i="7"/>
  <c r="B603" i="7"/>
  <c r="B602" i="7"/>
  <c r="B601" i="7"/>
  <c r="B600" i="7"/>
  <c r="B599" i="7"/>
  <c r="B598" i="7"/>
  <c r="B597" i="7"/>
  <c r="B596" i="7"/>
  <c r="B595" i="7"/>
  <c r="B594" i="7"/>
  <c r="B593" i="7"/>
  <c r="B592" i="7"/>
  <c r="B591" i="7"/>
  <c r="B590" i="7"/>
  <c r="B589" i="7"/>
  <c r="B588" i="7"/>
  <c r="B587" i="7"/>
  <c r="B586" i="7"/>
  <c r="B585" i="7"/>
  <c r="B584" i="7"/>
  <c r="B583" i="7"/>
  <c r="B582" i="7"/>
  <c r="B581" i="7"/>
  <c r="B580" i="7"/>
  <c r="B579" i="7"/>
  <c r="B578" i="7"/>
  <c r="B577" i="7"/>
  <c r="B576" i="7"/>
  <c r="B575" i="7"/>
  <c r="B574" i="7"/>
  <c r="B573" i="7"/>
  <c r="B572" i="7"/>
  <c r="B571" i="7"/>
  <c r="B570" i="7"/>
  <c r="B569" i="7"/>
  <c r="B568" i="7"/>
  <c r="B567" i="7"/>
  <c r="B566" i="7"/>
  <c r="B565" i="7"/>
  <c r="B564" i="7"/>
  <c r="B563" i="7"/>
  <c r="B562" i="7"/>
  <c r="B561" i="7"/>
  <c r="B560" i="7"/>
  <c r="B559" i="7"/>
  <c r="B558" i="7"/>
  <c r="B557" i="7"/>
  <c r="B556" i="7"/>
  <c r="B555" i="7"/>
  <c r="B554" i="7"/>
  <c r="B553" i="7"/>
  <c r="B552" i="7"/>
  <c r="B551" i="7"/>
  <c r="B550" i="7"/>
  <c r="B549" i="7"/>
  <c r="B548" i="7"/>
  <c r="B547" i="7"/>
  <c r="B546" i="7"/>
  <c r="B545" i="7"/>
  <c r="B544" i="7"/>
  <c r="B543" i="7"/>
  <c r="B542" i="7"/>
  <c r="B541" i="7"/>
  <c r="B540" i="7"/>
  <c r="B539" i="7"/>
  <c r="B538" i="7"/>
  <c r="B537" i="7"/>
  <c r="B536" i="7"/>
  <c r="B535" i="7"/>
  <c r="B534" i="7"/>
  <c r="B533" i="7"/>
  <c r="B532" i="7"/>
  <c r="B531" i="7"/>
  <c r="B530" i="7"/>
  <c r="B529" i="7"/>
  <c r="B528" i="7"/>
  <c r="B527" i="7"/>
  <c r="B526" i="7"/>
  <c r="B525" i="7"/>
  <c r="B524" i="7"/>
  <c r="B523" i="7"/>
  <c r="B522" i="7"/>
  <c r="B521" i="7"/>
  <c r="B520" i="7"/>
  <c r="B519" i="7"/>
  <c r="B518" i="7"/>
  <c r="B517" i="7"/>
  <c r="B516" i="7"/>
  <c r="B515" i="7"/>
  <c r="B514" i="7"/>
  <c r="B513" i="7"/>
  <c r="B512" i="7"/>
  <c r="B511" i="7"/>
  <c r="B510" i="7"/>
  <c r="B509" i="7"/>
  <c r="B508" i="7"/>
  <c r="B507" i="7"/>
  <c r="B506" i="7"/>
  <c r="B505" i="7"/>
  <c r="B504" i="7"/>
  <c r="B503" i="7"/>
  <c r="B502" i="7"/>
  <c r="B501" i="7"/>
  <c r="B500" i="7"/>
  <c r="B499" i="7"/>
  <c r="B498" i="7"/>
  <c r="B497" i="7"/>
  <c r="B496" i="7"/>
  <c r="B495" i="7"/>
  <c r="B494" i="7"/>
  <c r="B493" i="7"/>
  <c r="B492" i="7"/>
  <c r="B491" i="7"/>
  <c r="B490" i="7"/>
  <c r="B489" i="7"/>
  <c r="B488" i="7"/>
  <c r="B487" i="7"/>
  <c r="B486" i="7"/>
  <c r="B485" i="7"/>
  <c r="B484" i="7"/>
  <c r="B483" i="7"/>
  <c r="B482" i="7"/>
  <c r="B481" i="7"/>
  <c r="B480" i="7"/>
  <c r="B479" i="7"/>
  <c r="B478" i="7"/>
  <c r="B477" i="7"/>
  <c r="B476" i="7"/>
  <c r="B475" i="7"/>
  <c r="B474"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9"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 r="B14" i="1" l="1"/>
  <c r="G3" i="1" s="1"/>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12" i="6"/>
  <c r="A13" i="6"/>
  <c r="A14" i="6"/>
  <c r="A15" i="6"/>
  <c r="A11" i="6"/>
  <c r="F3" i="2"/>
  <c r="E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<sst xmlns="http://schemas.openxmlformats.org/spreadsheetml/2006/main" count="790" uniqueCount="435">
  <si>
    <r>
      <t xml:space="preserve">Appinium Quiz Creation Template </t>
    </r>
    <r>
      <rPr>
        <sz val="18"/>
        <color theme="9"/>
        <rFont val="Calibri"/>
        <family val="2"/>
        <scheme val="minor"/>
      </rPr>
      <t>v1</t>
    </r>
  </si>
  <si>
    <t>Quiz Title</t>
  </si>
  <si>
    <t>Black Belt</t>
  </si>
  <si>
    <t xml:space="preserve"> </t>
  </si>
  <si>
    <t>Duration (mins)</t>
  </si>
  <si>
    <t>Background Image URL</t>
  </si>
  <si>
    <t>https://myciscosalesconnect.file.force.com/sfc/dist/version/download/?oid=00D8c000005u363&amp;ids=0688c00000Dc6wG&amp;d=%2Fa%2F8c000000gIsr%2FCk08eVzNYlxF3RMjfyfL6irDN2NBswxFxyH_0jWHUgU&amp;asPdf=false</t>
  </si>
  <si>
    <t>Anshul</t>
  </si>
  <si>
    <t>Description</t>
  </si>
  <si>
    <t>Language</t>
  </si>
  <si>
    <t>English</t>
  </si>
  <si>
    <t>Content Trace ID</t>
  </si>
  <si>
    <t>Additional Information</t>
  </si>
  <si>
    <t>Passing Score</t>
  </si>
  <si>
    <t>Content Source</t>
  </si>
  <si>
    <t>Quiz Page Name</t>
  </si>
  <si>
    <t>Page 01</t>
  </si>
  <si>
    <t>Authors</t>
  </si>
  <si>
    <t>anshulsi, tepatil</t>
  </si>
  <si>
    <t>Question Display Count</t>
  </si>
  <si>
    <t>LMS Sharing Rules</t>
  </si>
  <si>
    <t>All Partners</t>
  </si>
  <si>
    <t>Question Count:-</t>
  </si>
  <si>
    <t>Question Type</t>
  </si>
  <si>
    <t>Question Text</t>
  </si>
  <si>
    <t>Option1</t>
  </si>
  <si>
    <t>Correct Answer1</t>
  </si>
  <si>
    <t>Option2</t>
  </si>
  <si>
    <t>Correct Answer2</t>
  </si>
  <si>
    <t>Option3</t>
  </si>
  <si>
    <t>Correct Answer3</t>
  </si>
  <si>
    <t>Option4</t>
  </si>
  <si>
    <t>Correct Answer4</t>
  </si>
  <si>
    <t>Option5</t>
  </si>
  <si>
    <t>Correct Answer5</t>
  </si>
  <si>
    <t>Multiple Choice</t>
  </si>
  <si>
    <t>Do not populate this template. Download a copy and use it.</t>
  </si>
  <si>
    <t>O1</t>
  </si>
  <si>
    <t>No</t>
  </si>
  <si>
    <t>O2</t>
  </si>
  <si>
    <t>Yes</t>
  </si>
  <si>
    <t>O3</t>
  </si>
  <si>
    <t>o4</t>
  </si>
  <si>
    <t>O5</t>
  </si>
  <si>
    <t>Single Choice</t>
  </si>
  <si>
    <t>SQ2</t>
  </si>
  <si>
    <t>O4</t>
  </si>
  <si>
    <t>True/False</t>
  </si>
  <si>
    <t>SQ3</t>
  </si>
  <si>
    <t>Created by: Anshul Singh</t>
  </si>
  <si>
    <t>Topic</t>
  </si>
  <si>
    <t>Answer Choice 1</t>
  </si>
  <si>
    <t>Answer Choice 2</t>
  </si>
  <si>
    <t>Answer Choice 3</t>
  </si>
  <si>
    <t>Answer Choice 4</t>
  </si>
  <si>
    <t>Answer Choice 5</t>
  </si>
  <si>
    <t>Answer Choice 6</t>
  </si>
  <si>
    <t>Score</t>
  </si>
  <si>
    <t>Mandatory Field</t>
  </si>
  <si>
    <t>Questiion text 1000 chracters max</t>
  </si>
  <si>
    <t>Answer 1 (max 400 characters)</t>
  </si>
  <si>
    <t>*Answer 2 (least 2 options)</t>
  </si>
  <si>
    <t>Answer 3 (least 1 correct answer)</t>
  </si>
  <si>
    <t>Answer 4</t>
  </si>
  <si>
    <t>Answer 5</t>
  </si>
  <si>
    <t>Answer 6 (max 6 options)</t>
  </si>
  <si>
    <r>
      <t xml:space="preserve">Mindtickle Quiz Creation Template </t>
    </r>
    <r>
      <rPr>
        <sz val="18"/>
        <color rgb="FF00B050"/>
        <rFont val="Calibri"/>
        <family val="2"/>
        <scheme val="minor"/>
      </rPr>
      <t>v1</t>
    </r>
  </si>
  <si>
    <t>Character Limit 100. Must be unique.</t>
  </si>
  <si>
    <t>Character Limit 1000</t>
  </si>
  <si>
    <t>Question Diplay Count</t>
  </si>
  <si>
    <t>Total Questions</t>
  </si>
  <si>
    <r>
      <t xml:space="preserve">Mindtickle Series Creation Template </t>
    </r>
    <r>
      <rPr>
        <sz val="18"/>
        <color theme="4" tint="-0.249977111117893"/>
        <rFont val="Calibri"/>
        <family val="2"/>
        <scheme val="minor"/>
      </rPr>
      <t>v1</t>
    </r>
  </si>
  <si>
    <t>Series Name</t>
  </si>
  <si>
    <t>Black Belt WebEx Contact Center Enterprise Support Stage 2</t>
  </si>
  <si>
    <t>Tile Image URL</t>
  </si>
  <si>
    <t>This training is designed to equip participants with advanced knowledge and skills required to support and troubleshoot WebEx Contact Center Enterprise solutions.</t>
  </si>
  <si>
    <t>Pre-requisite</t>
  </si>
  <si>
    <t>Black Belt Support Stage 1</t>
  </si>
  <si>
    <t>About</t>
  </si>
  <si>
    <t>Stage</t>
  </si>
  <si>
    <t>Next Best Training</t>
  </si>
  <si>
    <t>Default Language LP</t>
  </si>
  <si>
    <t>amashar2, avatts, pugandhi</t>
  </si>
  <si>
    <t>Architecture</t>
  </si>
  <si>
    <t>Collaboration</t>
  </si>
  <si>
    <t>End Date</t>
  </si>
  <si>
    <t>Sharing Rules</t>
  </si>
  <si>
    <t>Order</t>
  </si>
  <si>
    <t>Record Type</t>
  </si>
  <si>
    <t>Module Name</t>
  </si>
  <si>
    <t>Module Link (either Sharepoint or MT links)</t>
  </si>
  <si>
    <t>Module Description</t>
  </si>
  <si>
    <t>Module Duration (in mins)</t>
  </si>
  <si>
    <t>Section 1</t>
  </si>
  <si>
    <t>Overview</t>
  </si>
  <si>
    <t>Mandatory</t>
  </si>
  <si>
    <t>Section Description (if any)</t>
  </si>
  <si>
    <t>Media</t>
  </si>
  <si>
    <t>Webex_Contact_Center_Enterprise_Overview</t>
  </si>
  <si>
    <t>https://cisco.sharepoint.com/:f:/r/Sites/CiscoBlackBeltPartnerAcademy/Shared%20Documents/Mindtickle%20Publishing/Black%20Belt%20WebEx%20Contact%20Center%20Enterprise%20Support%20Stage%202?csf=1&amp;web=1&amp;e=RWCisW</t>
  </si>
  <si>
    <t>Section 2</t>
  </si>
  <si>
    <t>What's New</t>
  </si>
  <si>
    <t>HTML</t>
  </si>
  <si>
    <t>What's New in Webex Contact Center Enterprise</t>
  </si>
  <si>
    <t>https://help.webex.com/en-us/article/nhy3hvdb/What's-New-in-Webex-Contact-Center-Enterprise</t>
  </si>
  <si>
    <t>Section 3</t>
  </si>
  <si>
    <t>WebEx CCE Deployment Guide</t>
  </si>
  <si>
    <t>Webex_Contact_Center_Enterprise_Quick_Deployment_Solution</t>
  </si>
  <si>
    <t>https://help.webex.com/en-us/article/nyosarq/Webex-Contact-Center-Enterprise-Quick-Deployment-Solution</t>
  </si>
  <si>
    <t>Webex_Contact_Center_Enterprise_Admin_Portal_-_5_minute_demo_series</t>
  </si>
  <si>
    <t>https://video.cisco.com/detail/video/6200227780001?autoStart=true&amp;q=webex%20contact%20center</t>
  </si>
  <si>
    <t>Section 4</t>
  </si>
  <si>
    <t>Partner Technical Guide</t>
  </si>
  <si>
    <t>Cisco_Webex_Contact_Center_Enterprise_-_Partner_Technical_Guide</t>
  </si>
  <si>
    <t>https://cisco.sharepoint.com/:f:/r/Sites/CiscoBlackBeltPartnerAcademy/Shared%20Documents/Mindtickle%20Publishing/Black%20Belt%20WebEx%20Contact%20Center%20Enterprise%20Support%20Stage%202?csf=1&amp;web=1&amp;e=CfYyAq</t>
  </si>
  <si>
    <t>Section 5</t>
  </si>
  <si>
    <t>Understanding Cloud and On-prem WebEx CCE</t>
  </si>
  <si>
    <t>Part 1 Understanding Cisco Private Cloud Contact Center Enterprise offering WCCE</t>
  </si>
  <si>
    <t>https://cisco.sharepoint.com/:f:/r/Sites/CiscoBlackBeltPartnerAcademy/Shared%20Documents/Editing%20Studio/Output/Understanding%20Cisco%20Private%20Cloud%20Contact%20Center%20Enterprise%20offering%20WCCE?csf=1&amp;web=1&amp;e=VzEFQm</t>
  </si>
  <si>
    <t>Part 2 Understanding Cisco Private Cloud Contact Center Enterprise offering WCCE</t>
  </si>
  <si>
    <t>Part 3 Understanding Cisco Private Cloud Contact Center Enterprise offering WCCE</t>
  </si>
  <si>
    <t>Part 4 Understanding Cisco Private Cloud Contact Center Enterprise offering WCCE</t>
  </si>
  <si>
    <t>Section 6</t>
  </si>
  <si>
    <t>Black Belt WebEx Contact Center Enterprise Support Stage 2 Quiz</t>
  </si>
  <si>
    <t>Quiz</t>
  </si>
  <si>
    <t>WebEx_Contact_Center_Enterprise_Support_Stage_2_Quiz</t>
  </si>
  <si>
    <t>https://cisco.sharepoint.com/:f:/r/Sites/CiscoBlackBeltPartnerAcademy/Shared%20Documents/Mindtickle%20Publishing/Black%20Belt%20WebEx%20Contact%20Center%20Enterprise%20Support%20Stage%202?csf=1&amp;web=1&amp;e=E2gWPZ</t>
  </si>
  <si>
    <r>
      <t xml:space="preserve">Mindtickle Series Track Creation Template </t>
    </r>
    <r>
      <rPr>
        <sz val="18"/>
        <color theme="5" tint="-0.249977111117893"/>
        <rFont val="Calibri"/>
        <family val="2"/>
        <scheme val="minor"/>
      </rPr>
      <t>v1</t>
    </r>
  </si>
  <si>
    <t>Series Track Name</t>
  </si>
  <si>
    <t>Min Items for Completion</t>
  </si>
  <si>
    <t>Track Level Order</t>
  </si>
  <si>
    <t>Track Level Name</t>
  </si>
  <si>
    <t>Series (1)</t>
  </si>
  <si>
    <t>Series (2)</t>
  </si>
  <si>
    <t>Series (3)</t>
  </si>
  <si>
    <t>Series (4)</t>
  </si>
  <si>
    <t>Series (5)</t>
  </si>
  <si>
    <t>Series (6)</t>
  </si>
  <si>
    <t>Series (7)</t>
  </si>
  <si>
    <t>Series (8)</t>
  </si>
  <si>
    <t>Series (9)</t>
  </si>
  <si>
    <t>Series (10)</t>
  </si>
  <si>
    <t>Sample Level 1 (This is a template, download and use)</t>
  </si>
  <si>
    <t>Sample Level 2</t>
  </si>
  <si>
    <t>Sample Level 3</t>
  </si>
  <si>
    <t>Mindtickle Intake Guidelines v1</t>
  </si>
  <si>
    <t>***</t>
  </si>
  <si>
    <t>Turn Around Time (TAT)</t>
  </si>
  <si>
    <t>For any publishing request (assessment, series, modules), the TAT is 5 business days. Approved critical/urgent request would take 2 business days per request.</t>
  </si>
  <si>
    <t>Naming the intake template</t>
  </si>
  <si>
    <r>
      <t xml:space="preserve">Nomenclature for intake template is, the date (yymmdd) followed by the Title (depending on the use case). Use underscore for word separation instead of spaces (special characters must not be used). Date could range from the template creation to template submission day. For assessments &amp; track, template name must have the word 'Quiz' &amp; 'Track' in it respectively.
For eg: a.) </t>
    </r>
    <r>
      <rPr>
        <b/>
        <sz val="11"/>
        <color theme="3"/>
        <rFont val="Calibri"/>
        <family val="2"/>
        <scheme val="minor"/>
      </rPr>
      <t>Assessment Title:</t>
    </r>
    <r>
      <rPr>
        <sz val="11"/>
        <color theme="3"/>
        <rFont val="Calibri"/>
        <family val="2"/>
        <scheme val="minor"/>
      </rPr>
      <t xml:space="preserve"> Browser Synthetics - ES                                                      </t>
    </r>
    <r>
      <rPr>
        <b/>
        <sz val="11"/>
        <color theme="3"/>
        <rFont val="Calibri"/>
        <family val="2"/>
        <scheme val="minor"/>
      </rPr>
      <t>Template name becomes:</t>
    </r>
    <r>
      <rPr>
        <sz val="11"/>
        <color theme="3"/>
        <rFont val="Calibri"/>
        <family val="2"/>
        <scheme val="minor"/>
      </rPr>
      <t xml:space="preserve"> 230501_Browser_Synthetics_ES_Quiz
</t>
    </r>
    <r>
      <rPr>
        <b/>
        <sz val="11"/>
        <color theme="3"/>
        <rFont val="Calibri"/>
        <family val="2"/>
        <scheme val="minor"/>
      </rPr>
      <t>Assessment Title:</t>
    </r>
    <r>
      <rPr>
        <sz val="11"/>
        <color theme="3"/>
        <rFont val="Calibri"/>
        <family val="2"/>
        <scheme val="minor"/>
      </rPr>
      <t xml:space="preserve"> Black Belt - MDS - Presales - Stage 2 Quiz 3                                       </t>
    </r>
    <r>
      <rPr>
        <b/>
        <sz val="11"/>
        <color theme="3"/>
        <rFont val="Calibri"/>
        <family val="2"/>
        <scheme val="minor"/>
      </rPr>
      <t>Template name becomes:</t>
    </r>
    <r>
      <rPr>
        <sz val="11"/>
        <color theme="3"/>
        <rFont val="Calibri"/>
        <family val="2"/>
        <scheme val="minor"/>
      </rPr>
      <t xml:space="preserve"> 230501_Black_Belt_MDS_Presales_Stage_2_Quiz_3
b.)</t>
    </r>
    <r>
      <rPr>
        <b/>
        <sz val="11"/>
        <color theme="3"/>
        <rFont val="Calibri"/>
        <family val="2"/>
        <scheme val="minor"/>
      </rPr>
      <t xml:space="preserve"> Series Name:</t>
    </r>
    <r>
      <rPr>
        <sz val="11"/>
        <color theme="3"/>
        <rFont val="Calibri"/>
        <family val="2"/>
        <scheme val="minor"/>
      </rPr>
      <t xml:space="preserve"> Black Belt Distribution Stage 1 AppDynamics                                      </t>
    </r>
    <r>
      <rPr>
        <b/>
        <sz val="11"/>
        <color theme="3"/>
        <rFont val="Calibri"/>
        <family val="2"/>
        <scheme val="minor"/>
      </rPr>
      <t>Template name becomes:</t>
    </r>
    <r>
      <rPr>
        <sz val="11"/>
        <color theme="3"/>
        <rFont val="Calibri"/>
        <family val="2"/>
        <scheme val="minor"/>
      </rPr>
      <t xml:space="preserve"> 230501_Black_Belt_Distribution_Stage_1_AppDynamics
c.)</t>
    </r>
    <r>
      <rPr>
        <b/>
        <sz val="11"/>
        <color theme="3"/>
        <rFont val="Calibri"/>
        <family val="2"/>
        <scheme val="minor"/>
      </rPr>
      <t xml:space="preserve"> Series Track Name:</t>
    </r>
    <r>
      <rPr>
        <sz val="11"/>
        <color theme="3"/>
        <rFont val="Calibri"/>
        <family val="2"/>
        <scheme val="minor"/>
      </rPr>
      <t xml:space="preserve"> Black Belt Distribution Sales Specialist Stage 2                        </t>
    </r>
    <r>
      <rPr>
        <b/>
        <sz val="11"/>
        <color theme="3"/>
        <rFont val="Calibri"/>
        <family val="2"/>
        <scheme val="minor"/>
      </rPr>
      <t>Template name becomes:</t>
    </r>
    <r>
      <rPr>
        <sz val="11"/>
        <color theme="3"/>
        <rFont val="Calibri"/>
        <family val="2"/>
        <scheme val="minor"/>
      </rPr>
      <t xml:space="preserve"> 230801_Black_Belt_Distribution_Sales_Specialist_Stage_2_Track</t>
    </r>
  </si>
  <si>
    <t>Mandatory information</t>
  </si>
  <si>
    <r>
      <t xml:space="preserve">Any field with </t>
    </r>
    <r>
      <rPr>
        <b/>
        <sz val="11"/>
        <color rgb="FFFF0000"/>
        <rFont val="Calibri"/>
        <family val="2"/>
        <scheme val="minor"/>
      </rPr>
      <t>RED font</t>
    </r>
    <r>
      <rPr>
        <sz val="11"/>
        <color theme="3"/>
        <rFont val="Calibri"/>
        <family val="2"/>
        <scheme val="minor"/>
      </rPr>
      <t xml:space="preserve"> is a must requirement.</t>
    </r>
  </si>
  <si>
    <t>Assessment intake:-</t>
  </si>
  <si>
    <t>i</t>
  </si>
  <si>
    <t>Assessment Title</t>
  </si>
  <si>
    <t>Has a character limit of 100. Anything beyond the limit will not be published. Recommended Assessment title: 'Section Header' followed by '- Quiz'.</t>
  </si>
  <si>
    <t>ii</t>
  </si>
  <si>
    <t>Assessment description must be within 1000 characters max.</t>
  </si>
  <si>
    <t>iii</t>
  </si>
  <si>
    <t>If the quiz description is beyond 255 characters, use this field. If using this field, least criteria is 11 characters.</t>
  </si>
  <si>
    <t>iv</t>
  </si>
  <si>
    <t>If not provided, default will be 'Page 01'. All the questions will be displayed on one page only. (max 80 characters)</t>
  </si>
  <si>
    <t>v</t>
  </si>
  <si>
    <t>Below Quiz Page name is the field for it's Description. Mention the Quiz page description (if any, max 255 characters). If using this field, least criteria is 11 characters.</t>
  </si>
  <si>
    <t>vi</t>
  </si>
  <si>
    <t>Duration</t>
  </si>
  <si>
    <t>It is auto calculated as per the number of Question Display Count. 2 mins per question.</t>
  </si>
  <si>
    <t>vii</t>
  </si>
  <si>
    <t>Select as applicable from the Drop Down list.</t>
  </si>
  <si>
    <t>viii</t>
  </si>
  <si>
    <t>Must be a number from 1 to 100. Default passing score is 80%.</t>
  </si>
  <si>
    <t>ix</t>
  </si>
  <si>
    <t>Must be Cisco ID. Comma separated for multiple authors. For eg: anshulsi, tepatil</t>
  </si>
  <si>
    <t>x</t>
  </si>
  <si>
    <t>For use, publishing team only.</t>
  </si>
  <si>
    <t>xi</t>
  </si>
  <si>
    <t>xii</t>
  </si>
  <si>
    <t>Mention the source of the content (if any).</t>
  </si>
  <si>
    <t>xiii</t>
  </si>
  <si>
    <t>How many questions user must attempt out of all the questions provided. Default value is the total number of questions provided.</t>
  </si>
  <si>
    <t>xiv</t>
  </si>
  <si>
    <t>Entitlement for the content, select from the drop down list. List is downward inclusive. For eg: All Partners will include All Employees, All Distributors &amp; All Partners.</t>
  </si>
  <si>
    <t>xv</t>
  </si>
  <si>
    <t>Question Count</t>
  </si>
  <si>
    <t>It is auto calculated as per the number of Questions provided.</t>
  </si>
  <si>
    <t>xvi</t>
  </si>
  <si>
    <t>Select as applicable from the Drop Down list (it turns RED unless, required number of correct answers are marked 'Yes').</t>
  </si>
  <si>
    <t>xvii</t>
  </si>
  <si>
    <t>Mention the question here. There is 1000 character limit. If the question text is beyond 1000 characters, then it will not be displayed.</t>
  </si>
  <si>
    <t>xviii</t>
  </si>
  <si>
    <t>Option</t>
  </si>
  <si>
    <t>Options has 400 character limit and there is no alternative to extend it.</t>
  </si>
  <si>
    <t>xix</t>
  </si>
  <si>
    <t>Correct Answer</t>
  </si>
  <si>
    <r>
      <t>If the respective option is the correct one, then it must preceed with "</t>
    </r>
    <r>
      <rPr>
        <b/>
        <sz val="11"/>
        <color theme="9" tint="-0.499984740745262"/>
        <rFont val="Calibri"/>
        <family val="2"/>
        <scheme val="minor"/>
      </rPr>
      <t>*</t>
    </r>
    <r>
      <rPr>
        <sz val="11"/>
        <color theme="9" tint="-0.499984740745262"/>
        <rFont val="Calibri"/>
        <family val="2"/>
        <scheme val="minor"/>
      </rPr>
      <t>".</t>
    </r>
  </si>
  <si>
    <t>Assessment Template</t>
  </si>
  <si>
    <t>Upload the accurately filled template in a folder named after the series to which it belongs in Mindtickle Publishing folder.</t>
  </si>
  <si>
    <t>Assessment Form</t>
  </si>
  <si>
    <r>
      <t>Fill in the Assessment Publishing form (</t>
    </r>
    <r>
      <rPr>
        <b/>
        <u/>
        <sz val="11"/>
        <color theme="9" tint="-0.499984740745262"/>
        <rFont val="Calibri"/>
        <family val="2"/>
        <scheme val="minor"/>
      </rPr>
      <t>https://cs.co/BBAQuizv1</t>
    </r>
    <r>
      <rPr>
        <sz val="11"/>
        <color theme="9" tint="-0.499984740745262"/>
        <rFont val="Calibri"/>
        <family val="2"/>
        <scheme val="minor"/>
      </rPr>
      <t>).</t>
    </r>
  </si>
  <si>
    <t>Series intake:-</t>
  </si>
  <si>
    <t>Has a character limit of 100. Anything beyond the limit will not be published.</t>
  </si>
  <si>
    <t>Series description must be within 1000 characters max.</t>
  </si>
  <si>
    <t>If the Learning Plan description is beyond 255 characters, use this field. This is displayed in continuation to description so can be used in sync with it. If using this field, least criteria is 11 characters.</t>
  </si>
  <si>
    <t>For only localized Series, mention the English Series Name here.</t>
  </si>
  <si>
    <r>
      <t xml:space="preserve">Mention the duration of the Series considering only </t>
    </r>
    <r>
      <rPr>
        <b/>
        <sz val="11"/>
        <color rgb="FF002060"/>
        <rFont val="Calibri"/>
        <family val="2"/>
        <scheme val="minor"/>
      </rPr>
      <t>Mandatory Modules</t>
    </r>
    <r>
      <rPr>
        <sz val="11"/>
        <color rgb="FF002060"/>
        <rFont val="Calibri"/>
        <family val="2"/>
        <scheme val="minor"/>
      </rPr>
      <t>. Must be in minutes only.</t>
    </r>
  </si>
  <si>
    <t>Expiry date of the Learning Plan.</t>
  </si>
  <si>
    <t>Mention the Series name, comma separated for more than one.</t>
  </si>
  <si>
    <t>Next Best Learning</t>
  </si>
  <si>
    <t>Suggest which Series user must take next. It can be either, the next stage or a different Series.</t>
  </si>
  <si>
    <t>SG Form Link</t>
  </si>
  <si>
    <t>If the Series is for Stage 2/3 then mention Submission Guideline Form URL.</t>
  </si>
  <si>
    <t>Section</t>
  </si>
  <si>
    <t>Mention the section in ascending order. For eg: Section 1, Section 2 &amp; so on.</t>
  </si>
  <si>
    <t>Mention the SECTION NAME here.</t>
  </si>
  <si>
    <t>Next to section, mention the Section Name (max 100 characters).</t>
  </si>
  <si>
    <t>Optional/Mandatory</t>
  </si>
  <si>
    <t>Next to section name, mention if the section is Mandatory or Optional or Reference Material. Reference Material will always be Optional.</t>
  </si>
  <si>
    <t>Mention the section description in this cell. No character limit.</t>
  </si>
  <si>
    <t>xx</t>
  </si>
  <si>
    <t>Display order of the asset in the section. In mentioned order, the assets will appear in the Series. (as soon as order is mentioned, row formatting will appear).</t>
  </si>
  <si>
    <t>xxi</t>
  </si>
  <si>
    <r>
      <t xml:space="preserve">Type of the module:-
</t>
    </r>
    <r>
      <rPr>
        <b/>
        <sz val="11"/>
        <color rgb="FF002060"/>
        <rFont val="Calibri"/>
        <family val="2"/>
        <scheme val="minor"/>
      </rPr>
      <t>Video
Document
PDF
Assessment</t>
    </r>
  </si>
  <si>
    <t>xxii</t>
  </si>
  <si>
    <t>Name of the module (as published).</t>
  </si>
  <si>
    <t>xxiii</t>
  </si>
  <si>
    <t>Module Link</t>
  </si>
  <si>
    <t>If already published module then Mindtickle link, else the SharePoint folder link, where the module is uploaded in the Mindtickle publishing folder.</t>
  </si>
  <si>
    <t>xxiv</t>
  </si>
  <si>
    <r>
      <t xml:space="preserve">Module Description &amp; </t>
    </r>
    <r>
      <rPr>
        <b/>
        <sz val="11"/>
        <color rgb="FFFF0000"/>
        <rFont val="Calibri"/>
        <family val="2"/>
        <scheme val="minor"/>
      </rPr>
      <t>Duration</t>
    </r>
  </si>
  <si>
    <t>If you want to describe, what the module consists. In the next cell mention the duration of the module in minutes.</t>
  </si>
  <si>
    <t>Section Header</t>
  </si>
  <si>
    <t xml:space="preserve">To mark in new section, type in 'Section' along with the section order in column A, section header formatting will appear. </t>
  </si>
  <si>
    <t>Series Template</t>
  </si>
  <si>
    <r>
      <t xml:space="preserve">Upload the accurately filled template in a folder named after the series to which it belongs in </t>
    </r>
    <r>
      <rPr>
        <b/>
        <u/>
        <sz val="11"/>
        <color rgb="FF002060"/>
        <rFont val="Calibri"/>
        <family val="2"/>
        <scheme val="minor"/>
      </rPr>
      <t>Mindtickle Publishing folder</t>
    </r>
    <r>
      <rPr>
        <sz val="11"/>
        <color rgb="FF002060"/>
        <rFont val="Calibri"/>
        <family val="2"/>
        <scheme val="minor"/>
      </rPr>
      <t>.</t>
    </r>
  </si>
  <si>
    <t>Series Form</t>
  </si>
  <si>
    <r>
      <t>Fill in the Series Publishing form (</t>
    </r>
    <r>
      <rPr>
        <b/>
        <u/>
        <sz val="11"/>
        <color theme="4" tint="-0.499984740745262"/>
        <rFont val="Calibri"/>
        <family val="2"/>
        <scheme val="minor"/>
      </rPr>
      <t>https://cs.co/BBALPlanv1</t>
    </r>
    <r>
      <rPr>
        <sz val="11"/>
        <color theme="4" tint="-0.499984740745262"/>
        <rFont val="Calibri"/>
        <family val="2"/>
        <scheme val="minor"/>
      </rPr>
      <t>).</t>
    </r>
  </si>
  <si>
    <t>Series Track intake:-</t>
  </si>
  <si>
    <t>Series Track description must be within 1000 characters max.</t>
  </si>
  <si>
    <t>Minimum Items for Completion</t>
  </si>
  <si>
    <t>Mention the number of minimum items to complete for Track Achievement.</t>
  </si>
  <si>
    <t>Series Track Template</t>
  </si>
  <si>
    <t>Series Track Form</t>
  </si>
  <si>
    <r>
      <t>Fill in the Series Publishing form (</t>
    </r>
    <r>
      <rPr>
        <b/>
        <u/>
        <sz val="11"/>
        <color theme="5" tint="-0.249977111117893"/>
        <rFont val="Calibri"/>
        <family val="2"/>
        <scheme val="minor"/>
      </rPr>
      <t>https://cs.co/BBALPlanv1</t>
    </r>
    <r>
      <rPr>
        <sz val="11"/>
        <color theme="5" tint="-0.249977111117893"/>
        <rFont val="Calibri"/>
        <family val="2"/>
        <scheme val="minor"/>
      </rPr>
      <t>) for Trac as well just select TRACK in the option.</t>
    </r>
  </si>
  <si>
    <t>As we bring in continuous improvements, it is highly recommended that you download a fresh copy of this template on regular intervals.</t>
  </si>
  <si>
    <t>Q Type</t>
  </si>
  <si>
    <t>Section Type</t>
  </si>
  <si>
    <t>On Going</t>
  </si>
  <si>
    <t>Cisco IDs</t>
  </si>
  <si>
    <t>All Employees</t>
  </si>
  <si>
    <t>5G</t>
  </si>
  <si>
    <t>Video</t>
  </si>
  <si>
    <t>aawoland</t>
  </si>
  <si>
    <t>All Distributors</t>
  </si>
  <si>
    <t>Chinese (Simplified)</t>
  </si>
  <si>
    <t>Cisco Designed</t>
  </si>
  <si>
    <t>Optional</t>
  </si>
  <si>
    <t>Document</t>
  </si>
  <si>
    <t>https://myciscosalesconnect.file.force.com/sfc/dist/version/download/?oid=00D8c000005u363&amp;ids=0688c00000Dbw6V&amp;d=%2Fa%2F8c000000gINy%2FsbG6gX4hzBxaA9mj9Lp0ZWgTT2rC640C4grJXVp2qco&amp;asPdf=false</t>
  </si>
  <si>
    <t>https://myciscosalesconnect.file.force.com/sfc/dist/version/download/?oid=00D8c000005u363&amp;ids=0688c00000DbzvF&amp;d=%2Fa%2F8c000000gIUy%2FlSj5StH0Xbs44izt8XeDP9502Wrw2CZisYspBLvvcYU&amp;asPdf=false</t>
  </si>
  <si>
    <t>abhinsi8</t>
  </si>
  <si>
    <t>French</t>
  </si>
  <si>
    <t>Reference Material</t>
  </si>
  <si>
    <t>PDF</t>
  </si>
  <si>
    <t>https://myciscosalesconnect.file.force.com/sfc/dist/version/download/?oid=00D8c000005u363&amp;ids=0688c00000Dbzq9&amp;d=%2Fa%2F8c000000gIVj%2FVhHu_LkRw6HuCoFvzSxu9PG2n8k_z_JCqV6B6ScLtwE&amp;asPdf=false</t>
  </si>
  <si>
    <t>https://myciscosalesconnect.file.force.com/sfc/dist/version/download/?oid=00D8c000005u363&amp;ids=0688c00000Dbzp6&amp;d=%2Fa%2F8c000000gIUx%2FQfLjO1Zq4Yr8KHWaow7trnvEFMhqgOxgz6rnIeXWZB8&amp;asPdf=false</t>
  </si>
  <si>
    <t>https://myciscosalesconnect.file.force.com/sfc/dist/version/download/?oid=00D8c000005u363&amp;ids=0688c00000Dbvdz&amp;d=%2Fa%2F8c000000gIL9%2FKl7HkaF9Vit3yjLqOem2Z7O_wNfEkIC0c6hX.Tbl9lk&amp;asPdf=false</t>
  </si>
  <si>
    <t>abkarve</t>
  </si>
  <si>
    <t>German</t>
  </si>
  <si>
    <t>Cross Architecture</t>
  </si>
  <si>
    <t>Assessment</t>
  </si>
  <si>
    <t>https://myciscosalesconnect.file.force.com/sfc/dist/version/download/?oid=00D8c000005u363&amp;ids=0688c00000DcCC6&amp;d=%2Fa%2F8c000000gJ0H%2FF.f6QrPJAHhBtli2c_qef7viv_dbAd_nUumuaL83.n0&amp;asPdf=false</t>
  </si>
  <si>
    <t>https://myciscosalesconnect.file.force.com/sfc/dist/version/download/?oid=00D8c000005u363&amp;ids=0688c00000DcXSn&amp;d=%2Fa%2F8c000000gJTj%2FPvoVxMKM4cuJqPzMeTsd44qe7RBUltr3obYbpWIYsmA&amp;asPdf=false</t>
  </si>
  <si>
    <t>ajoshi3</t>
  </si>
  <si>
    <t>Italian</t>
  </si>
  <si>
    <t>Data Center</t>
  </si>
  <si>
    <t>Case Study</t>
  </si>
  <si>
    <t>https://myciscosalesconnect.file.force.com/sfc/dist/version/download/?oid=00D8c000005u363&amp;ids=0688c00000Dc00j&amp;d=%2Fa%2F8c000000gIW4%2Fb318Xb1BcwJWplyzKF_JD4huu7Zp_T6_DEQdH3ErTBE&amp;asPdf=false</t>
  </si>
  <si>
    <t>https://myciscosalesconnect.file.force.com/sfc/dist/version/download/?oid=00D8c000005u363&amp;ids=0688c00000Dc1AP&amp;d=%2Fa%2F8c000000gIhA%2FedFadZDlFEQ7bTNnOW21K8OfoopE0os7ix4IABWqWYQ&amp;asPdf=false</t>
  </si>
  <si>
    <t>https://myciscosalesconnect.file.force.com/sfc/dist/version/download/?oid=00D8c000005u363&amp;ids=0688c00000Dc0pt&amp;d=%2Fa%2F8c000000gIcW%2FhZfVzcoauxTYx4X0hZpjh_auH.8s0UM2gGHb7gZZHGI&amp;asPdf=false</t>
  </si>
  <si>
    <t>alafever</t>
  </si>
  <si>
    <t>Japanese</t>
  </si>
  <si>
    <t>Devnet</t>
  </si>
  <si>
    <t>CTF</t>
  </si>
  <si>
    <t>https://myciscosalesconnect.file.force.com/sfc/dist/version/download/?oid=00D8c000005u363&amp;ids=0688c00000Dc09k&amp;d=%2Fa%2F8c000000gIXA%2FJeHbkluS_YhsAtJvBmm6OLz6TQGHqxWB7bp1s3n.Lko&amp;asPdf=false</t>
  </si>
  <si>
    <t>https://myciscosalesconnect.file.force.com/sfc/dist/version/download/?oid=00D8c000005u363&amp;ids=0688c00000Dc12a&amp;d=%2Fa%2F8c000000gIdi%2FGFkNWsXbkWoHcN_TpwnA3KR_qVgf78NhPw0QPGLlf7s&amp;asPdf=false</t>
  </si>
  <si>
    <t>https://myciscosalesconnect.file.force.com/sfc/dist/version/download/?oid=00D8c000005u363&amp;ids=0688c00000Dc12g&amp;d=%2Fa%2F8c000000gIdo%2Fw_orJJs.xZmu9Hp2sEE6INT8.EMqjqVIRV5iwAImHyY&amp;asPdf=false</t>
  </si>
  <si>
    <t>alejrodr</t>
  </si>
  <si>
    <t>Korean</t>
  </si>
  <si>
    <t>Enterprise Networks</t>
  </si>
  <si>
    <t>dCloud</t>
  </si>
  <si>
    <t>https://myciscosalesconnect.file.force.com/sfc/dist/version/download/?oid=00D8c000005u363&amp;ids=0688c00000Dc6ok&amp;d=%2Fa%2F8c000000gIqi%2F3DjfBJBpRPZMgnNRlTPHzHSOQXgre0V499gp7ENEBeE&amp;asPdf=false</t>
  </si>
  <si>
    <t>https://myciscosalesconnect.file.force.com/sfc/dist/version/download/?oid=00D8c000005u363&amp;ids=0688c00000Dbzqp&amp;d=%2Fa%2F8c000000gIVF%2FQtT0d4pbdymw.3tthKq.kR99ir6MPcEBuGhzEEwa32g&amp;asPdf=false</t>
  </si>
  <si>
    <t>https://myciscosalesconnect.file.force.com/sfc/dist/version/download/?oid=00D8c000005u363&amp;ids=0688c00000Dc16b&amp;d=%2Fa%2F8c000000gIfE%2F8.vyU169q9UUX0Ju8IeyysN0.uIBeZnMqlIAFffAVdI&amp;asPdf=false</t>
  </si>
  <si>
    <t>amashar2</t>
  </si>
  <si>
    <t>Portuguese (Brazil)</t>
  </si>
  <si>
    <t>IOT</t>
  </si>
  <si>
    <t>Deal ID</t>
  </si>
  <si>
    <t>https://myciscosalesconnect.file.force.com/sfc/dist/version/download/?oid=00D8c000005u363&amp;ids=0688c00000Dc18j&amp;d=%2Fa%2F8c000000gIgq%2FlM5Lnm2PFZaaJSfSEIoAYQA7XVF4Soz_6hnBkVOIpGM&amp;asPdf=false</t>
  </si>
  <si>
    <t>https://myciscosalesconnect.file.force.com/sfc/dist/version/download/?oid=00D8c000005u363&amp;ids=0688c00000DcCJT&amp;d=%2Fa%2F8c000000gJ15%2FBz8TWhrlpimN6WbhjkFqp.wDKvAwyL5B_bLFxH75Rsk&amp;asPdf=false</t>
  </si>
  <si>
    <t>amekulka</t>
  </si>
  <si>
    <t>Spanish (Mexico)</t>
  </si>
  <si>
    <t>Meraki</t>
  </si>
  <si>
    <t>Excel</t>
  </si>
  <si>
    <t>https://myciscosalesconnect.file.force.com/sfc/dist/version/download/?oid=00D8c000005u363&amp;ids=0688c00000Dc16Q&amp;d=%2Fa%2F8c000000gIeo%2FNCIufPFGNmPRHFFRj5jhqwm_OQtjZuAQc2Xpvn9PPp0&amp;asPdf=false</t>
  </si>
  <si>
    <t>https://myciscosalesconnect.file.force.com/sfc/dist/version/download/?oid=00D8c000005u363&amp;ids=0688c00000Dbzyv&amp;d=%2Fa%2F8c000000gIW6%2FXWZRkkIX.8qUQ2Tl3GC4ovTKI.VwNUJcjwuG1ZoxeVI&amp;asPdf=false</t>
  </si>
  <si>
    <t>https://myciscosalesconnect.file.force.com/sfc/dist/version/download/?oid=00D8c000005u363&amp;ids=0688c00000DcCH4&amp;d=%2Fa%2F8c000000gJ0v%2FeYJ_2rCpVD5OcMmYi9u4ovuPc7CfnQbJf8tIHf8HYRQ&amp;asPdf=false</t>
  </si>
  <si>
    <t>amyedwar</t>
  </si>
  <si>
    <t>Thai</t>
  </si>
  <si>
    <t>Multi Domain</t>
  </si>
  <si>
    <t>HLD LLD</t>
  </si>
  <si>
    <t>https://myciscosalesconnect.file.force.com/sfc/dist/version/download/?oid=00D8c000005u363&amp;ids=0688c00000Dbzyw&amp;d=%2Fa%2F8c000000gIVk%2F.8RUTXu.ZYyg9ytl27rGoiU4Oah9GBfp.7_JA1NQevE&amp;asPdf=false</t>
  </si>
  <si>
    <t>https://myciscosalesconnect.file.force.com/sfc/dist/version/download/?oid=00D8c000005u363&amp;ids=0688c00000Dc6nb&amp;d=%2Fa%2F8c000000gIqN%2F9m_3_R0kquZkNPWbnAoRNv51kNAQscrNDO8_LQvUFmA&amp;asPdf=false</t>
  </si>
  <si>
    <t>https://myciscosalesconnect.file.force.com/sfc/dist/version/download/?oid=00D8c000005u363&amp;ids=0688c00000DcC5L&amp;d=%2Fa%2F8c000000gIz9%2FZNxIFXNhXokmEdd5GYmGf1IJywZ0QfMl9TieJgz9zF4&amp;asPdf=false</t>
  </si>
  <si>
    <t>anantku</t>
  </si>
  <si>
    <t>Vietnamese</t>
  </si>
  <si>
    <t>Non Architecture</t>
  </si>
  <si>
    <t>https://myciscosalesconnect.file.force.com/sfc/dist/version/download/?oid=00D8c000005u363&amp;ids=0688c00000Dc6o5&amp;d=%2Fa%2F8c000000gIqb%2FQRWM.V7wf9JxgRglUXJO7A_vlXa5Kkl4w.LfO_lu5OE&amp;asPdf=false</t>
  </si>
  <si>
    <t>https://myciscosalesconnect.file.force.com/sfc/dist/version/download/?oid=00D8c000005u363&amp;ids=0688c00000DbzsW&amp;d=%2Fa%2F8c000000gIVJ%2FYL0zH_2R34ULoj4RplPPVPlmv5bc7tsIJ61ylqq5rHs&amp;asPdf=false</t>
  </si>
  <si>
    <t>https://myciscosalesconnect--c.documentforce.com/sfc/dist/version/download/?oid=00D8c000005u363&amp;ids=0688c00000De9A5&amp;d=%2Fa%2F8c000000gLCP%2FcR.AB4O6ofsjbNL5oBfe9dYg29Anitx6bkSfx8f_4YA&amp;asPdf=false</t>
  </si>
  <si>
    <t>aneidlin</t>
  </si>
  <si>
    <t>Security</t>
  </si>
  <si>
    <t>Perfect Pitch</t>
  </si>
  <si>
    <t>https://myciscosalesconnect.file.force.com/sfc/dist/version/download/?oid=00D8c000005u363&amp;ids=0688c00000Dc1TF&amp;d=%2Fa%2F8c000000gIkE%2Fx8sAM4Vop.NIQrcu9O0_3eYKtodQhRkeAKpbkTrMqko&amp;asPdf=false</t>
  </si>
  <si>
    <t>https://myciscosalesconnect.file.force.com/sfc/dist/version/download/?oid=00D8c000005u363&amp;ids=0688c00000Dc1RL&amp;d=%2Fa%2F8c000000gIk6%2Fl75C0RLdpzqEW2_miZz7mwHb7_4yFjgAGMtZClWng.c&amp;asPdf=false</t>
  </si>
  <si>
    <t>https://myciscosalesconnect.file.force.com/sfc/dist/version/download/?oid=00D8c000005u363&amp;ids=0688c00000Dc6ne&amp;d=%2Fa%2F8c000000gIrV%2Fvoz4fw35DrYkbjVHImAdSObdfKtk3QfEJyUpQWvgpaQ&amp;asPdf=false</t>
  </si>
  <si>
    <t>annduong</t>
  </si>
  <si>
    <t>Service Provider</t>
  </si>
  <si>
    <t>Poll</t>
  </si>
  <si>
    <t>https://myciscosalesconnect.file.force.com/sfc/dist/version/download/?oid=00D8c000005u363&amp;ids=0688c00000DcQx0&amp;d=%2Fa%2F8c000000gJJb%2Fo9bbjPxEV3sgCC_oOWky7bvC3OajqbY8qzeUTELLFpw&amp;asPdf=false</t>
  </si>
  <si>
    <t>anshulsi</t>
  </si>
  <si>
    <t>Other</t>
  </si>
  <si>
    <t>PPT</t>
  </si>
  <si>
    <t>anskaush</t>
  </si>
  <si>
    <t>Scorm</t>
  </si>
  <si>
    <t>answami</t>
  </si>
  <si>
    <t>Sales Order</t>
  </si>
  <si>
    <t>anuniyal</t>
  </si>
  <si>
    <t>Survey</t>
  </si>
  <si>
    <t>ashmorga</t>
  </si>
  <si>
    <t>asugatha</t>
  </si>
  <si>
    <t>avatts</t>
  </si>
  <si>
    <t>bilclay</t>
  </si>
  <si>
    <t>bkanova</t>
  </si>
  <si>
    <t>brcuneo</t>
  </si>
  <si>
    <t>brfoster</t>
  </si>
  <si>
    <t>cbinz</t>
  </si>
  <si>
    <t>chclasen</t>
  </si>
  <si>
    <t>chmoreto</t>
  </si>
  <si>
    <t>chrjohn4</t>
  </si>
  <si>
    <t>cincampb</t>
  </si>
  <si>
    <t>ckayserc</t>
  </si>
  <si>
    <t>cmcmilla</t>
  </si>
  <si>
    <t>dakeith</t>
  </si>
  <si>
    <t>davbrigh</t>
  </si>
  <si>
    <t>davileac</t>
  </si>
  <si>
    <t>dijani</t>
  </si>
  <si>
    <t>dmoudgil</t>
  </si>
  <si>
    <t>duemani</t>
  </si>
  <si>
    <t>edmcnich</t>
  </si>
  <si>
    <t>erieddy</t>
  </si>
  <si>
    <t>erihowar</t>
  </si>
  <si>
    <t>feabdulk</t>
  </si>
  <si>
    <t>gapinto</t>
  </si>
  <si>
    <t>gbrantle</t>
  </si>
  <si>
    <t>gworks</t>
  </si>
  <si>
    <t>hanjabbo</t>
  </si>
  <si>
    <t>hcrespi</t>
  </si>
  <si>
    <t>holvalde</t>
  </si>
  <si>
    <t>hpolakov</t>
  </si>
  <si>
    <t>japeters</t>
  </si>
  <si>
    <t>javierhe</t>
  </si>
  <si>
    <t>jdembows</t>
  </si>
  <si>
    <t>jorgquin</t>
  </si>
  <si>
    <t>joshturn</t>
  </si>
  <si>
    <t>jprzygod</t>
  </si>
  <si>
    <t>jromerov</t>
  </si>
  <si>
    <t>jtozer</t>
  </si>
  <si>
    <t>kashsach</t>
  </si>
  <si>
    <t>kdingess</t>
  </si>
  <si>
    <t>kevipott</t>
  </si>
  <si>
    <t>khilla</t>
  </si>
  <si>
    <t>kmonin</t>
  </si>
  <si>
    <t>kpamthin</t>
  </si>
  <si>
    <t>liwan3</t>
  </si>
  <si>
    <t>matthrob</t>
  </si>
  <si>
    <t>mavander</t>
  </si>
  <si>
    <t>mdilio</t>
  </si>
  <si>
    <t>mimcphee</t>
  </si>
  <si>
    <t>mjaworow</t>
  </si>
  <si>
    <t>mjuarez</t>
  </si>
  <si>
    <t>mtanasko</t>
  </si>
  <si>
    <t>muskshar</t>
  </si>
  <si>
    <t>ncoppool</t>
  </si>
  <si>
    <t>niita</t>
  </si>
  <si>
    <t>pachippa</t>
  </si>
  <si>
    <t>peharmon</t>
  </si>
  <si>
    <t>pehristo</t>
  </si>
  <si>
    <t>prerawat</t>
  </si>
  <si>
    <t>psahdev</t>
  </si>
  <si>
    <t>pugandhi</t>
  </si>
  <si>
    <t>ravisin6</t>
  </si>
  <si>
    <t>rayprova</t>
  </si>
  <si>
    <t>reshpate</t>
  </si>
  <si>
    <t>rgold1</t>
  </si>
  <si>
    <t>rimanand</t>
  </si>
  <si>
    <t>rishagra</t>
  </si>
  <si>
    <t>ristarke</t>
  </si>
  <si>
    <t>robsherw</t>
  </si>
  <si>
    <t>rphaliva</t>
  </si>
  <si>
    <t>rplochar</t>
  </si>
  <si>
    <t>rrrivera</t>
  </si>
  <si>
    <t>rsteense</t>
  </si>
  <si>
    <t>saaiyapp</t>
  </si>
  <si>
    <t>saharina</t>
  </si>
  <si>
    <t>sakukrej</t>
  </si>
  <si>
    <t>samarora</t>
  </si>
  <si>
    <t>sameeksh</t>
  </si>
  <si>
    <t>sbist</t>
  </si>
  <si>
    <t>sdewall</t>
  </si>
  <si>
    <t>shidutt</t>
  </si>
  <si>
    <t>shmadapp</t>
  </si>
  <si>
    <t>skaimula</t>
  </si>
  <si>
    <t>sladd</t>
  </si>
  <si>
    <t>steveha</t>
  </si>
  <si>
    <t>sthung</t>
  </si>
  <si>
    <t>tepatil</t>
  </si>
  <si>
    <t>tkenney</t>
  </si>
  <si>
    <t>tparuthi</t>
  </si>
  <si>
    <t>trgilman</t>
  </si>
  <si>
    <t>ttellech</t>
  </si>
  <si>
    <t>umangupt</t>
  </si>
  <si>
    <t>vnallaku</t>
  </si>
  <si>
    <t>wakom</t>
  </si>
  <si>
    <t>yegowda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</si>
</sst>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font>
      <sz val="11"/>
      <color theme="1"/>
      <name val="Calibri"/>
      <family val="2"/>
      <scheme val="minor"/>
    </font>
    <font>
      <sz val="11"/>
      <color theme="1"/>
      <name val="Calibri"/>
      <family val="2"/>
      <scheme val="minor"/>
    </font>
    <font>
      <sz val="8"/>
      <name val="Calibri"/>
      <family val="2"/>
      <scheme val="minor"/>
    </font>
    <font>
      <sz val="11"/>
      <name val="Calibri"/>
      <family val="2"/>
      <scheme val="minor"/>
    </font>
    <font>
      <b/>
      <sz val="11"/>
      <color rgb="FF00B050"/>
      <name val="Calibri"/>
      <family val="2"/>
      <scheme val="minor"/>
    </font>
    <font>
      <b/>
      <sz val="11"/>
      <color rgb="FFFF0000"/>
      <name val="Calibri"/>
      <family val="2"/>
      <scheme val="minor"/>
    </font>
    <font>
      <sz val="12"/>
      <color theme="1"/>
      <name val="Calibri"/>
      <family val="2"/>
      <scheme val="minor"/>
    </font>
    <font>
      <b/>
      <sz val="11"/>
      <color theme="3"/>
      <name val="Calibri"/>
      <family val="2"/>
      <scheme val="minor"/>
    </font>
    <font>
      <u/>
      <sz val="11"/>
      <color theme="10"/>
      <name val="Calibri"/>
      <family val="2"/>
      <scheme val="minor"/>
    </font>
    <font>
      <sz val="30"/>
      <color theme="0"/>
      <name val="Calibri"/>
      <family val="2"/>
      <scheme val="minor"/>
    </font>
    <font>
      <sz val="11"/>
      <color theme="9" tint="-0.499984740745262"/>
      <name val="Calibri"/>
      <family val="2"/>
      <scheme val="minor"/>
    </font>
    <font>
      <b/>
      <sz val="11"/>
      <color theme="9" tint="-0.499984740745262"/>
      <name val="Calibri"/>
      <family val="2"/>
      <scheme val="minor"/>
    </font>
    <font>
      <sz val="11"/>
      <color theme="3"/>
      <name val="Calibri"/>
      <family val="2"/>
      <scheme val="minor"/>
    </font>
    <font>
      <sz val="11"/>
      <color rgb="FF002060"/>
      <name val="Calibri"/>
      <family val="2"/>
      <scheme val="minor"/>
    </font>
    <font>
      <b/>
      <sz val="11"/>
      <color rgb="FF002060"/>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b/>
      <u/>
      <sz val="11"/>
      <color theme="9" tint="-0.499984740745262"/>
      <name val="Calibri"/>
      <family val="2"/>
      <scheme val="minor"/>
    </font>
    <font>
      <sz val="11"/>
      <color theme="4" tint="-0.499984740745262"/>
      <name val="Calibri"/>
      <family val="2"/>
      <scheme val="minor"/>
    </font>
    <font>
      <b/>
      <u/>
      <sz val="11"/>
      <color theme="4" tint="-0.499984740745262"/>
      <name val="Calibri"/>
      <family val="2"/>
      <scheme val="minor"/>
    </font>
    <font>
      <b/>
      <sz val="11"/>
      <color theme="5" tint="-0.249977111117893"/>
      <name val="Calibri"/>
      <family val="2"/>
      <scheme val="minor"/>
    </font>
    <font>
      <sz val="11"/>
      <color theme="5" tint="-0.249977111117893"/>
      <name val="Calibri"/>
      <family val="2"/>
      <scheme val="minor"/>
    </font>
    <font>
      <b/>
      <u/>
      <sz val="11"/>
      <color theme="5" tint="-0.249977111117893"/>
      <name val="Calibri"/>
      <family val="2"/>
      <scheme val="minor"/>
    </font>
    <font>
      <sz val="12"/>
      <color theme="0"/>
      <name val="Calibri"/>
      <family val="2"/>
      <scheme val="minor"/>
    </font>
    <font>
      <sz val="11"/>
      <color rgb="FF000000"/>
      <name val="Calibri"/>
      <family val="2"/>
    </font>
    <font>
      <sz val="30"/>
      <color theme="4" tint="-0.249977111117893"/>
      <name val="Calibri"/>
      <family val="2"/>
      <scheme val="minor"/>
    </font>
    <font>
      <sz val="18"/>
      <color theme="4" tint="-0.249977111117893"/>
      <name val="Calibri"/>
      <family val="2"/>
      <scheme val="minor"/>
    </font>
    <font>
      <sz val="30"/>
      <color theme="5" tint="-0.249977111117893"/>
      <name val="Calibri"/>
      <family val="2"/>
      <scheme val="minor"/>
    </font>
    <font>
      <sz val="18"/>
      <color theme="5" tint="-0.249977111117893"/>
      <name val="Calibri"/>
      <family val="2"/>
      <scheme val="minor"/>
    </font>
    <font>
      <sz val="30"/>
      <color theme="9"/>
      <name val="Calibri"/>
      <family val="2"/>
      <scheme val="minor"/>
    </font>
    <font>
      <sz val="18"/>
      <color theme="9"/>
      <name val="Calibri"/>
      <family val="2"/>
      <scheme val="minor"/>
    </font>
    <font>
      <sz val="72"/>
      <color theme="0" tint="-4.9989318521683403E-2"/>
      <name val="Calibri"/>
      <family val="2"/>
      <scheme val="minor"/>
    </font>
    <font>
      <sz val="72"/>
      <color theme="0"/>
      <name val="Calibri"/>
      <family val="2"/>
      <scheme val="minor"/>
    </font>
    <font>
      <sz val="11"/>
      <color rgb="FF000000"/>
      <name val="Calibri"/>
      <family val="2"/>
      <charset val="1"/>
    </font>
    <font>
      <sz val="11"/>
      <name val="Calibri"/>
      <family val="2"/>
      <charset val="1"/>
    </font>
    <font>
      <sz val="30"/>
      <color rgb="FF00B050"/>
      <name val="Calibri"/>
      <family val="2"/>
      <scheme val="minor"/>
    </font>
    <font>
      <sz val="18"/>
      <color rgb="FF00B050"/>
      <name val="Calibri"/>
      <family val="2"/>
      <scheme val="minor"/>
    </font>
    <font>
      <strike/>
      <sz val="11"/>
      <color theme="1"/>
      <name val="Calibri"/>
      <family val="2"/>
      <scheme val="minor"/>
    </font>
    <font>
      <strike/>
      <sz val="11"/>
      <color theme="9" tint="-0.499984740745262"/>
      <name val="Calibri"/>
      <family val="2"/>
      <scheme val="minor"/>
    </font>
    <font>
      <strike/>
      <sz val="11"/>
      <color rgb="FFFF0000"/>
      <name val="Calibri"/>
      <family val="2"/>
      <scheme val="minor"/>
    </font>
    <font>
      <strike/>
      <sz val="11"/>
      <color rgb="FF002060"/>
      <name val="Calibri"/>
      <family val="2"/>
      <scheme val="minor"/>
    </font>
    <font>
      <b/>
      <u/>
      <sz val="11"/>
      <color rgb="FF002060"/>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FFFF"/>
        <bgColor indexed="64"/>
      </patternFill>
    </fill>
    <fill>
      <patternFill patternType="solid">
        <fgColor rgb="FFE2EFDA"/>
        <bgColor indexed="64"/>
      </patternFill>
    </fill>
    <fill>
      <patternFill patternType="solid">
        <fgColor rgb="FF00B050"/>
        <bgColor indexed="64"/>
      </patternFill>
    </fill>
    <fill>
      <patternFill patternType="solid">
        <fgColor rgb="FF0070C0"/>
        <bgColor indexed="64"/>
      </patternFill>
    </fill>
  </fills>
  <borders count="25">
    <border>
      <left/>
      <right/>
      <top/>
      <bottom/>
      <diagonal/>
    </border>
    <border>
      <left/>
      <right/>
      <top/>
      <bottom style="medium">
        <color rgb="FF00B050"/>
      </bottom>
      <diagonal/>
    </border>
    <border>
      <left/>
      <right/>
      <top style="thin">
        <color rgb="FF00B050"/>
      </top>
      <bottom style="thin">
        <color rgb="FF00B050"/>
      </bottom>
      <diagonal/>
    </border>
    <border>
      <left/>
      <right/>
      <top style="thin">
        <color theme="4"/>
      </top>
      <bottom style="thin">
        <color theme="4"/>
      </bottom>
      <diagonal/>
    </border>
    <border>
      <left/>
      <right/>
      <top/>
      <bottom style="medium">
        <color theme="4"/>
      </bottom>
      <diagonal/>
    </border>
    <border>
      <left/>
      <right/>
      <top style="thin">
        <color theme="3"/>
      </top>
      <bottom style="thin">
        <color theme="3"/>
      </bottom>
      <diagonal/>
    </border>
    <border>
      <left/>
      <right/>
      <top style="thin">
        <color theme="9" tint="-0.499984740745262"/>
      </top>
      <bottom style="thin">
        <color theme="9" tint="-0.499984740745262"/>
      </bottom>
      <diagonal/>
    </border>
    <border>
      <left/>
      <right/>
      <top style="thin">
        <color theme="3"/>
      </top>
      <bottom/>
      <diagonal/>
    </border>
    <border>
      <left/>
      <right/>
      <top style="thin">
        <color theme="4" tint="-0.499984740745262"/>
      </top>
      <bottom style="thin">
        <color theme="4" tint="-0.499984740745262"/>
      </bottom>
      <diagonal/>
    </border>
    <border>
      <left/>
      <right/>
      <top style="thin">
        <color theme="9" tint="-0.499984740745262"/>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left>
      <right style="thin">
        <color theme="4"/>
      </right>
      <top style="thin">
        <color theme="4"/>
      </top>
      <bottom style="thin">
        <color theme="4"/>
      </bottom>
      <diagonal/>
    </border>
    <border>
      <left/>
      <right/>
      <top style="thin">
        <color theme="4"/>
      </top>
      <bottom/>
      <diagonal/>
    </border>
    <border>
      <left style="thin">
        <color theme="4"/>
      </left>
      <right/>
      <top style="thin">
        <color theme="4"/>
      </top>
      <bottom style="thin">
        <color theme="4"/>
      </bottom>
      <diagonal/>
    </border>
    <border>
      <left style="thin">
        <color theme="4"/>
      </left>
      <right style="thin">
        <color theme="4"/>
      </right>
      <top/>
      <bottom style="thin">
        <color theme="4"/>
      </bottom>
      <diagonal/>
    </border>
    <border>
      <left style="thin">
        <color theme="4"/>
      </left>
      <right/>
      <top/>
      <bottom style="thin">
        <color theme="4"/>
      </bottom>
      <diagonal/>
    </border>
    <border>
      <left/>
      <right/>
      <top style="thin">
        <color theme="5"/>
      </top>
      <bottom style="thin">
        <color theme="5"/>
      </bottom>
      <diagonal/>
    </border>
    <border>
      <left/>
      <right/>
      <top/>
      <bottom style="medium">
        <color theme="5"/>
      </bottom>
      <diagonal/>
    </border>
    <border>
      <left style="thin">
        <color theme="5"/>
      </left>
      <right style="thin">
        <color theme="5"/>
      </right>
      <top/>
      <bottom style="thin">
        <color theme="5"/>
      </bottom>
      <diagonal/>
    </border>
    <border>
      <left/>
      <right/>
      <top style="thin">
        <color theme="5"/>
      </top>
      <bottom/>
      <diagonal/>
    </border>
    <border>
      <left/>
      <right/>
      <top style="thin">
        <color theme="4" tint="-0.499984740745262"/>
      </top>
      <bottom/>
      <diagonal/>
    </border>
    <border>
      <left/>
      <right/>
      <top/>
      <bottom style="thin">
        <color theme="5"/>
      </bottom>
      <diagonal/>
    </border>
    <border>
      <left style="thin">
        <color theme="5"/>
      </left>
      <right style="thin">
        <color theme="5"/>
      </right>
      <top style="thin">
        <color theme="5"/>
      </top>
      <bottom style="thin">
        <color theme="5"/>
      </bottom>
      <diagonal/>
    </border>
    <border>
      <left style="thin">
        <color theme="9"/>
      </left>
      <right style="thin">
        <color theme="9"/>
      </right>
      <top/>
      <bottom/>
      <diagonal/>
    </border>
    <border>
      <left/>
      <right/>
      <top/>
      <bottom style="thin">
        <color rgb="FF00B050"/>
      </bottom>
      <diagonal/>
    </border>
  </borders>
  <cellStyleXfs count="3">
    <xf numFmtId="0" fontId="0" fillId="0" borderId="0"/>
    <xf numFmtId="9" fontId="1" fillId="0" borderId="0" applyFont="0" applyFill="0" applyBorder="0" applyAlignment="0" applyProtection="0"/>
    <xf numFmtId="0" fontId="8" fillId="0" borderId="0" applyNumberFormat="0" applyFill="0" applyBorder="0" applyAlignment="0" applyProtection="0"/>
  </cellStyleXfs>
  <cellXfs count="155">
    <xf numFmtId="0" fontId="0" fillId="0" borderId="0" xfId="0"/>
    <xf numFmtId="0" fontId="0" fillId="0" borderId="0" xfId="0" applyAlignment="1">
      <alignment vertical="center"/>
    </xf>
    <xf numFmtId="0" fontId="0" fillId="0" borderId="0" xfId="0" applyAlignment="1">
      <alignment wrapText="1"/>
    </xf>
    <xf numFmtId="0" fontId="8" fillId="2" borderId="2" xfId="2" applyFill="1" applyBorder="1" applyAlignment="1" applyProtection="1"/>
    <xf numFmtId="0" fontId="9" fillId="0" borderId="0" xfId="0" applyFont="1" applyAlignment="1">
      <alignment horizontal="center" vertical="center"/>
    </xf>
    <xf numFmtId="0" fontId="12" fillId="0" borderId="5" xfId="0" applyFont="1" applyBorder="1" applyAlignment="1">
      <alignment horizontal="left" vertical="center"/>
    </xf>
    <xf numFmtId="0" fontId="12" fillId="0" borderId="0" xfId="0" applyFont="1" applyAlignment="1">
      <alignment horizontal="left" vertical="center"/>
    </xf>
    <xf numFmtId="0" fontId="12" fillId="0" borderId="7" xfId="0" applyFont="1" applyBorder="1" applyAlignment="1">
      <alignment horizontal="left" vertical="center"/>
    </xf>
    <xf numFmtId="0" fontId="0" fillId="2" borderId="6" xfId="0" applyFill="1" applyBorder="1" applyAlignment="1">
      <alignment horizontal="left" vertical="center"/>
    </xf>
    <xf numFmtId="0" fontId="10" fillId="2" borderId="6" xfId="0" applyFont="1" applyFill="1" applyBorder="1" applyAlignment="1">
      <alignment horizontal="left" vertical="center"/>
    </xf>
    <xf numFmtId="0" fontId="0" fillId="0" borderId="0" xfId="0" applyAlignment="1">
      <alignment horizontal="left" vertical="center"/>
    </xf>
    <xf numFmtId="0" fontId="0" fillId="0" borderId="6" xfId="0" applyBorder="1" applyAlignment="1">
      <alignment horizontal="left" vertical="center"/>
    </xf>
    <xf numFmtId="0" fontId="10" fillId="0" borderId="6" xfId="0" applyFont="1" applyBorder="1" applyAlignment="1">
      <alignment horizontal="center" vertical="center"/>
    </xf>
    <xf numFmtId="0" fontId="10" fillId="0" borderId="6" xfId="0" applyFont="1" applyBorder="1" applyAlignment="1">
      <alignment horizontal="left" vertical="center"/>
    </xf>
    <xf numFmtId="0" fontId="0" fillId="0" borderId="9" xfId="0" applyBorder="1" applyAlignment="1">
      <alignment horizontal="left" vertical="center"/>
    </xf>
    <xf numFmtId="0" fontId="10" fillId="0" borderId="9" xfId="0" applyFont="1" applyBorder="1" applyAlignment="1">
      <alignment horizontal="center" vertical="center"/>
    </xf>
    <xf numFmtId="0" fontId="10" fillId="0" borderId="9" xfId="0" applyFont="1" applyBorder="1" applyAlignment="1">
      <alignment horizontal="left" vertical="center"/>
    </xf>
    <xf numFmtId="0" fontId="0" fillId="3" borderId="8" xfId="0" applyFill="1" applyBorder="1" applyAlignment="1">
      <alignment horizontal="left" vertical="center"/>
    </xf>
    <xf numFmtId="0" fontId="13" fillId="3" borderId="8" xfId="0" applyFont="1" applyFill="1" applyBorder="1" applyAlignment="1">
      <alignment horizontal="left" vertical="center"/>
    </xf>
    <xf numFmtId="0" fontId="0" fillId="0" borderId="8" xfId="0" applyBorder="1" applyAlignment="1">
      <alignment horizontal="left" vertical="center"/>
    </xf>
    <xf numFmtId="0" fontId="13" fillId="0" borderId="8" xfId="0" applyFont="1" applyBorder="1" applyAlignment="1">
      <alignment horizontal="center" vertical="center"/>
    </xf>
    <xf numFmtId="0" fontId="13" fillId="0" borderId="8" xfId="0" applyFont="1" applyBorder="1" applyAlignment="1">
      <alignment horizontal="left" vertical="center"/>
    </xf>
    <xf numFmtId="0" fontId="14" fillId="3" borderId="8" xfId="0" applyFont="1" applyFill="1" applyBorder="1" applyAlignment="1">
      <alignment horizontal="left" vertical="center"/>
    </xf>
    <xf numFmtId="0" fontId="11" fillId="2" borderId="6" xfId="0" applyFont="1" applyFill="1" applyBorder="1" applyAlignment="1">
      <alignment horizontal="left" vertical="center"/>
    </xf>
    <xf numFmtId="0" fontId="7" fillId="0" borderId="5" xfId="0" applyFont="1" applyBorder="1" applyAlignment="1">
      <alignment horizontal="left" vertical="center"/>
    </xf>
    <xf numFmtId="0" fontId="14" fillId="0" borderId="8" xfId="0" applyFont="1" applyBorder="1" applyAlignment="1">
      <alignment horizontal="left" vertical="center"/>
    </xf>
    <xf numFmtId="0" fontId="0" fillId="0" borderId="0" xfId="0" applyProtection="1">
      <protection locked="0"/>
    </xf>
    <xf numFmtId="0" fontId="0" fillId="2" borderId="2" xfId="0" applyFill="1" applyBorder="1" applyAlignment="1" applyProtection="1">
      <alignment horizontal="left" vertical="center"/>
      <protection locked="0"/>
    </xf>
    <xf numFmtId="9" fontId="0" fillId="2" borderId="2" xfId="1"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0" fillId="0" borderId="0" xfId="0" applyAlignment="1" applyProtection="1">
      <alignment vertical="center"/>
      <protection locked="0"/>
    </xf>
    <xf numFmtId="0" fontId="5" fillId="0" borderId="2" xfId="0" applyFont="1" applyBorder="1"/>
    <xf numFmtId="0" fontId="0" fillId="0" borderId="2" xfId="0" applyBorder="1"/>
    <xf numFmtId="0" fontId="0" fillId="0" borderId="1" xfId="0" applyBorder="1"/>
    <xf numFmtId="0" fontId="5" fillId="0" borderId="0" xfId="0" applyFont="1"/>
    <xf numFmtId="164" fontId="0" fillId="2" borderId="2" xfId="0" applyNumberFormat="1" applyFill="1" applyBorder="1" applyAlignment="1">
      <alignment horizontal="left" vertical="center"/>
    </xf>
    <xf numFmtId="0" fontId="0" fillId="3" borderId="3" xfId="0" applyFill="1" applyBorder="1" applyProtection="1">
      <protection locked="0"/>
    </xf>
    <xf numFmtId="9" fontId="0" fillId="3" borderId="3" xfId="1" applyFont="1" applyFill="1" applyBorder="1" applyAlignment="1" applyProtection="1">
      <alignment horizontal="left" vertical="center"/>
      <protection locked="0"/>
    </xf>
    <xf numFmtId="0" fontId="15" fillId="6" borderId="10" xfId="0" applyFont="1" applyFill="1" applyBorder="1"/>
    <xf numFmtId="0" fontId="0" fillId="7" borderId="10" xfId="0" applyFill="1" applyBorder="1"/>
    <xf numFmtId="0" fontId="0" fillId="0" borderId="10" xfId="0" applyBorder="1"/>
    <xf numFmtId="0" fontId="8" fillId="3" borderId="3" xfId="2" applyFill="1" applyBorder="1"/>
    <xf numFmtId="49" fontId="0" fillId="0" borderId="0" xfId="0" applyNumberFormat="1"/>
    <xf numFmtId="0" fontId="0" fillId="2" borderId="2" xfId="0" applyFill="1" applyBorder="1" applyAlignment="1" applyProtection="1">
      <alignment horizontal="left"/>
      <protection locked="0"/>
    </xf>
    <xf numFmtId="0" fontId="0" fillId="0" borderId="0" xfId="0" applyAlignment="1">
      <alignment horizontal="left"/>
    </xf>
    <xf numFmtId="0" fontId="6" fillId="3" borderId="11" xfId="0" applyFont="1" applyFill="1" applyBorder="1" applyAlignment="1" applyProtection="1">
      <alignment horizontal="left" vertical="center"/>
      <protection locked="0"/>
    </xf>
    <xf numFmtId="0" fontId="5" fillId="0" borderId="7" xfId="0" applyFont="1" applyBorder="1" applyAlignment="1">
      <alignment horizontal="left" vertical="center"/>
    </xf>
    <xf numFmtId="0" fontId="16" fillId="0" borderId="6" xfId="0" applyFont="1" applyBorder="1" applyAlignment="1">
      <alignment horizontal="left" vertical="center"/>
    </xf>
    <xf numFmtId="0" fontId="16" fillId="0" borderId="8" xfId="0" applyFont="1" applyBorder="1" applyAlignment="1">
      <alignment horizontal="left" vertical="center"/>
    </xf>
    <xf numFmtId="0" fontId="6" fillId="3" borderId="13" xfId="0" applyFont="1" applyFill="1" applyBorder="1" applyAlignment="1" applyProtection="1">
      <alignment vertical="center" wrapText="1"/>
      <protection locked="0"/>
    </xf>
    <xf numFmtId="0" fontId="6" fillId="3" borderId="13" xfId="0" applyFont="1" applyFill="1" applyBorder="1" applyAlignment="1" applyProtection="1">
      <alignment horizontal="left" vertical="center" wrapText="1"/>
      <protection locked="0"/>
    </xf>
    <xf numFmtId="0" fontId="0" fillId="0" borderId="0" xfId="0" applyAlignment="1" applyProtection="1">
      <alignment horizontal="left" vertical="top" wrapText="1"/>
      <protection locked="0"/>
    </xf>
    <xf numFmtId="0" fontId="0" fillId="0" borderId="12" xfId="0" applyBorder="1" applyAlignment="1" applyProtection="1">
      <alignment horizontal="left" vertical="center" wrapText="1"/>
      <protection locked="0"/>
    </xf>
    <xf numFmtId="15" fontId="3" fillId="3" borderId="3" xfId="0" applyNumberFormat="1" applyFont="1" applyFill="1" applyBorder="1" applyAlignment="1" applyProtection="1">
      <alignment horizontal="left"/>
      <protection locked="0"/>
    </xf>
    <xf numFmtId="0" fontId="3" fillId="3" borderId="3" xfId="0" applyFont="1" applyFill="1" applyBorder="1" applyProtection="1">
      <protection locked="0"/>
    </xf>
    <xf numFmtId="164" fontId="3" fillId="3" borderId="3" xfId="0" applyNumberFormat="1" applyFont="1" applyFill="1" applyBorder="1" applyAlignment="1" applyProtection="1">
      <alignment horizontal="left"/>
      <protection locked="0"/>
    </xf>
    <xf numFmtId="0" fontId="3" fillId="3" borderId="3" xfId="0" applyFont="1" applyFill="1" applyBorder="1" applyAlignment="1" applyProtection="1">
      <alignment horizontal="left" vertical="center"/>
      <protection locked="0"/>
    </xf>
    <xf numFmtId="15" fontId="3" fillId="3" borderId="3" xfId="0" applyNumberFormat="1" applyFont="1" applyFill="1" applyBorder="1" applyAlignment="1" applyProtection="1">
      <alignment horizontal="left" vertical="center"/>
      <protection locked="0"/>
    </xf>
    <xf numFmtId="0" fontId="0" fillId="0" borderId="4" xfId="0" applyBorder="1"/>
    <xf numFmtId="0" fontId="5" fillId="0" borderId="3" xfId="0" applyFont="1" applyBorder="1"/>
    <xf numFmtId="0" fontId="0" fillId="0" borderId="3" xfId="0" applyBorder="1"/>
    <xf numFmtId="0" fontId="0" fillId="4" borderId="14" xfId="0" applyFill="1" applyBorder="1" applyAlignment="1">
      <alignment vertical="center"/>
    </xf>
    <xf numFmtId="0" fontId="0" fillId="4" borderId="15" xfId="0" applyFill="1" applyBorder="1" applyAlignment="1">
      <alignment vertical="center" wrapText="1"/>
    </xf>
    <xf numFmtId="0" fontId="0" fillId="4" borderId="15" xfId="0" applyFill="1" applyBorder="1" applyAlignment="1">
      <alignment vertical="center"/>
    </xf>
    <xf numFmtId="0" fontId="6" fillId="3" borderId="0" xfId="0" applyFont="1" applyFill="1" applyAlignment="1" applyProtection="1">
      <alignment horizontal="left" vertical="center"/>
      <protection locked="0"/>
    </xf>
    <xf numFmtId="0" fontId="3" fillId="8" borderId="16" xfId="0" applyFont="1" applyFill="1" applyBorder="1" applyProtection="1">
      <protection locked="0"/>
    </xf>
    <xf numFmtId="164" fontId="3" fillId="8" borderId="16" xfId="0" applyNumberFormat="1" applyFont="1" applyFill="1" applyBorder="1" applyAlignment="1" applyProtection="1">
      <alignment horizontal="left"/>
      <protection locked="0"/>
    </xf>
    <xf numFmtId="0" fontId="8" fillId="8" borderId="16" xfId="2" applyFill="1" applyBorder="1"/>
    <xf numFmtId="0" fontId="0" fillId="8" borderId="16" xfId="0" applyFill="1" applyBorder="1" applyProtection="1">
      <protection locked="0"/>
    </xf>
    <xf numFmtId="9" fontId="0" fillId="8" borderId="16" xfId="1" applyFont="1" applyFill="1" applyBorder="1" applyAlignment="1" applyProtection="1">
      <alignment horizontal="left" vertical="center"/>
      <protection locked="0"/>
    </xf>
    <xf numFmtId="0" fontId="17" fillId="0" borderId="0" xfId="0" applyFont="1"/>
    <xf numFmtId="0" fontId="0" fillId="0" borderId="17" xfId="0" applyBorder="1"/>
    <xf numFmtId="0" fontId="5" fillId="0" borderId="16" xfId="0" applyFont="1" applyBorder="1"/>
    <xf numFmtId="0" fontId="0" fillId="0" borderId="16" xfId="0" applyBorder="1"/>
    <xf numFmtId="0" fontId="11" fillId="0" borderId="9" xfId="0" applyFont="1" applyBorder="1" applyAlignment="1">
      <alignment horizontal="center" vertical="center"/>
    </xf>
    <xf numFmtId="0" fontId="11" fillId="0" borderId="9" xfId="0" applyFont="1" applyBorder="1" applyAlignment="1">
      <alignment horizontal="left" vertical="center"/>
    </xf>
    <xf numFmtId="0" fontId="6" fillId="0" borderId="0" xfId="0" applyFont="1" applyAlignment="1" applyProtection="1">
      <alignment horizontal="left" vertical="center"/>
      <protection locked="0"/>
    </xf>
    <xf numFmtId="0" fontId="0" fillId="0" borderId="20" xfId="0" applyBorder="1" applyAlignment="1">
      <alignment horizontal="left" vertical="center"/>
    </xf>
    <xf numFmtId="0" fontId="13" fillId="0" borderId="20" xfId="0" applyFont="1" applyBorder="1" applyAlignment="1">
      <alignment horizontal="center" vertical="center"/>
    </xf>
    <xf numFmtId="0" fontId="14" fillId="0" borderId="20" xfId="0" applyFont="1" applyBorder="1" applyAlignment="1">
      <alignment horizontal="left" vertical="center"/>
    </xf>
    <xf numFmtId="0" fontId="0" fillId="8" borderId="16" xfId="0" applyFill="1" applyBorder="1" applyAlignment="1">
      <alignment horizontal="left" vertical="center"/>
    </xf>
    <xf numFmtId="0" fontId="22" fillId="8" borderId="16" xfId="0" applyFont="1" applyFill="1" applyBorder="1" applyAlignment="1">
      <alignment horizontal="left" vertical="center"/>
    </xf>
    <xf numFmtId="0" fontId="21" fillId="8" borderId="16" xfId="0" applyFont="1" applyFill="1" applyBorder="1" applyAlignment="1">
      <alignment horizontal="left" vertical="center"/>
    </xf>
    <xf numFmtId="0" fontId="22" fillId="0" borderId="21" xfId="0" applyFont="1" applyBorder="1" applyAlignment="1">
      <alignment horizontal="center" vertical="center"/>
    </xf>
    <xf numFmtId="0" fontId="21" fillId="0" borderId="21" xfId="0" applyFont="1" applyBorder="1" applyAlignment="1">
      <alignment horizontal="left" vertical="center"/>
    </xf>
    <xf numFmtId="0" fontId="0" fillId="0" borderId="21" xfId="0" applyBorder="1" applyAlignment="1">
      <alignment horizontal="left" vertical="center"/>
    </xf>
    <xf numFmtId="0" fontId="0" fillId="0" borderId="16" xfId="0" applyBorder="1" applyAlignment="1">
      <alignment horizontal="left" vertical="center"/>
    </xf>
    <xf numFmtId="0" fontId="22" fillId="0" borderId="16" xfId="0" applyFont="1" applyBorder="1" applyAlignment="1">
      <alignment horizontal="center" vertical="center"/>
    </xf>
    <xf numFmtId="0" fontId="16" fillId="0" borderId="16" xfId="0" applyFont="1" applyBorder="1" applyAlignment="1">
      <alignment horizontal="left" vertical="center"/>
    </xf>
    <xf numFmtId="0" fontId="22" fillId="0" borderId="0" xfId="0" applyFont="1" applyAlignment="1">
      <alignment horizontal="center" vertical="center"/>
    </xf>
    <xf numFmtId="0" fontId="16" fillId="0" borderId="0" xfId="0" applyFont="1" applyAlignment="1">
      <alignment horizontal="left" vertical="center"/>
    </xf>
    <xf numFmtId="0" fontId="22" fillId="0" borderId="16" xfId="0" applyFont="1" applyBorder="1" applyAlignment="1">
      <alignment horizontal="left" vertical="center"/>
    </xf>
    <xf numFmtId="0" fontId="22" fillId="0" borderId="21" xfId="0" applyFont="1" applyBorder="1" applyAlignment="1">
      <alignment horizontal="left" vertical="center"/>
    </xf>
    <xf numFmtId="0" fontId="25" fillId="3" borderId="3" xfId="0" applyFont="1" applyFill="1" applyBorder="1" applyProtection="1">
      <protection locked="0"/>
    </xf>
    <xf numFmtId="0" fontId="0" fillId="9" borderId="22" xfId="0" applyFill="1" applyBorder="1" applyAlignment="1">
      <alignment vertical="center"/>
    </xf>
    <xf numFmtId="0" fontId="0" fillId="9" borderId="22" xfId="0" applyFill="1" applyBorder="1" applyAlignment="1">
      <alignment vertical="center" wrapText="1"/>
    </xf>
    <xf numFmtId="0" fontId="0" fillId="9" borderId="18" xfId="0" applyFill="1" applyBorder="1" applyAlignment="1">
      <alignment vertical="center" wrapText="1"/>
    </xf>
    <xf numFmtId="0" fontId="0" fillId="0" borderId="0" xfId="0" applyAlignment="1" applyProtection="1">
      <alignment horizontal="left" vertical="center"/>
      <protection hidden="1"/>
    </xf>
    <xf numFmtId="0" fontId="0" fillId="0" borderId="0" xfId="0" applyAlignment="1" applyProtection="1">
      <alignment wrapText="1"/>
      <protection locked="0"/>
    </xf>
    <xf numFmtId="0" fontId="5" fillId="0" borderId="0" xfId="0" applyFont="1" applyAlignment="1">
      <alignment horizontal="left"/>
    </xf>
    <xf numFmtId="0" fontId="4" fillId="0" borderId="23" xfId="0" applyFont="1" applyBorder="1" applyAlignment="1">
      <alignment horizontal="left" vertical="center" wrapText="1"/>
    </xf>
    <xf numFmtId="0" fontId="25" fillId="0" borderId="0" xfId="0" applyFont="1" applyAlignment="1" applyProtection="1">
      <alignment horizontal="left" vertical="center" wrapText="1"/>
      <protection locked="0"/>
    </xf>
    <xf numFmtId="4" fontId="0" fillId="0" borderId="0" xfId="0" applyNumberFormat="1" applyAlignment="1" applyProtection="1">
      <alignment horizontal="left" vertical="center" wrapText="1"/>
      <protection locked="0"/>
    </xf>
    <xf numFmtId="0" fontId="34" fillId="0" borderId="0" xfId="0" applyFont="1" applyAlignment="1" applyProtection="1">
      <alignment horizontal="left" vertical="center" wrapText="1"/>
      <protection locked="0"/>
    </xf>
    <xf numFmtId="9" fontId="34" fillId="0" borderId="0" xfId="0" applyNumberFormat="1" applyFont="1" applyAlignment="1" applyProtection="1">
      <alignment horizontal="left" vertical="center" wrapText="1"/>
      <protection locked="0"/>
    </xf>
    <xf numFmtId="0" fontId="0" fillId="0" borderId="0" xfId="0" applyAlignment="1" applyProtection="1">
      <alignment horizontal="left" vertical="center"/>
      <protection locked="0" hidden="1"/>
    </xf>
    <xf numFmtId="0" fontId="15" fillId="12" borderId="0" xfId="0" applyFont="1" applyFill="1" applyAlignment="1">
      <alignment horizontal="left" vertical="center"/>
    </xf>
    <xf numFmtId="0" fontId="15" fillId="13" borderId="0" xfId="0" applyFont="1" applyFill="1" applyAlignment="1">
      <alignment horizontal="left" vertical="center"/>
    </xf>
    <xf numFmtId="0" fontId="36" fillId="0" borderId="0" xfId="2" applyFont="1" applyBorder="1" applyAlignment="1" applyProtection="1">
      <alignment vertical="center"/>
    </xf>
    <xf numFmtId="0" fontId="0" fillId="0" borderId="24" xfId="0" applyBorder="1"/>
    <xf numFmtId="0" fontId="38" fillId="0" borderId="6" xfId="0" applyFont="1" applyBorder="1" applyAlignment="1">
      <alignment horizontal="left" vertical="center"/>
    </xf>
    <xf numFmtId="0" fontId="39" fillId="0" borderId="6" xfId="0" applyFont="1" applyBorder="1" applyAlignment="1">
      <alignment horizontal="center" vertical="center"/>
    </xf>
    <xf numFmtId="0" fontId="39" fillId="0" borderId="6" xfId="0" applyFont="1" applyBorder="1" applyAlignment="1">
      <alignment horizontal="left" vertical="center"/>
    </xf>
    <xf numFmtId="0" fontId="38" fillId="0" borderId="0" xfId="0" applyFont="1" applyAlignment="1">
      <alignment horizontal="left" vertical="center"/>
    </xf>
    <xf numFmtId="0" fontId="40" fillId="0" borderId="6" xfId="0" applyFont="1" applyBorder="1" applyAlignment="1">
      <alignment horizontal="left" vertical="center"/>
    </xf>
    <xf numFmtId="0" fontId="41" fillId="0" borderId="8" xfId="0" applyFont="1" applyBorder="1" applyAlignment="1">
      <alignment horizontal="center" vertical="center"/>
    </xf>
    <xf numFmtId="0" fontId="41" fillId="0" borderId="8" xfId="0" applyFont="1" applyBorder="1" applyAlignment="1">
      <alignment horizontal="left" vertical="center"/>
    </xf>
    <xf numFmtId="0" fontId="40" fillId="0" borderId="8" xfId="0" applyFont="1" applyBorder="1" applyAlignment="1">
      <alignment horizontal="left" vertical="center"/>
    </xf>
    <xf numFmtId="0" fontId="0" fillId="4" borderId="13" xfId="0" applyFill="1" applyBorder="1" applyAlignment="1">
      <alignment vertical="center"/>
    </xf>
    <xf numFmtId="0" fontId="8" fillId="10" borderId="12" xfId="2" applyFill="1" applyBorder="1" applyAlignment="1" applyProtection="1">
      <alignment horizontal="left" vertical="top" wrapText="1"/>
      <protection locked="0"/>
    </xf>
    <xf numFmtId="0" fontId="8" fillId="0" borderId="0" xfId="2" applyAlignment="1" applyProtection="1">
      <alignment horizontal="left" vertical="top" wrapText="1"/>
      <protection locked="0"/>
    </xf>
    <xf numFmtId="0" fontId="8" fillId="0" borderId="0" xfId="2" applyAlignment="1" applyProtection="1">
      <alignment horizontal="left" vertical="center" wrapText="1"/>
      <protection locked="0"/>
    </xf>
    <xf numFmtId="0" fontId="33" fillId="0" borderId="0" xfId="0" applyFont="1" applyAlignment="1">
      <alignment horizontal="center"/>
    </xf>
    <xf numFmtId="0" fontId="26" fillId="0" borderId="0" xfId="2" applyFont="1" applyAlignment="1">
      <alignment horizontal="center" vertical="center"/>
    </xf>
    <xf numFmtId="0" fontId="0" fillId="0" borderId="0" xfId="0" applyAlignment="1" applyProtection="1">
      <alignment horizontal="left" vertical="center" wrapText="1"/>
      <protection locked="0"/>
    </xf>
    <xf numFmtId="0" fontId="30" fillId="0" borderId="0" xfId="2" applyFont="1" applyAlignment="1">
      <alignment horizontal="center" vertical="center"/>
    </xf>
    <xf numFmtId="164" fontId="3" fillId="2" borderId="2" xfId="0" applyNumberFormat="1" applyFont="1" applyFill="1" applyBorder="1" applyAlignment="1" applyProtection="1">
      <alignment horizontal="left"/>
      <protection locked="0"/>
    </xf>
    <xf numFmtId="164" fontId="3" fillId="2" borderId="2" xfId="0" applyNumberFormat="1" applyFont="1" applyFill="1" applyBorder="1" applyAlignment="1">
      <alignment horizontal="left"/>
    </xf>
    <xf numFmtId="0" fontId="36" fillId="0" borderId="1" xfId="2" applyFont="1" applyBorder="1" applyAlignment="1" applyProtection="1">
      <alignment horizontal="center" vertical="center"/>
    </xf>
    <xf numFmtId="9" fontId="3" fillId="2" borderId="2" xfId="0" applyNumberFormat="1" applyFont="1" applyFill="1" applyBorder="1" applyAlignment="1" applyProtection="1">
      <alignment horizontal="left"/>
      <protection locked="0"/>
    </xf>
    <xf numFmtId="0" fontId="3" fillId="2" borderId="2" xfId="0" applyFont="1" applyFill="1" applyBorder="1" applyAlignment="1" applyProtection="1">
      <alignment horizontal="left"/>
      <protection locked="0"/>
    </xf>
    <xf numFmtId="0" fontId="28" fillId="0" borderId="0" xfId="2" applyFont="1" applyAlignment="1" applyProtection="1">
      <alignment horizontal="center" vertical="center"/>
    </xf>
    <xf numFmtId="0" fontId="22" fillId="0" borderId="21" xfId="2" applyFont="1" applyBorder="1" applyAlignment="1">
      <alignment horizontal="left" vertical="center" wrapText="1"/>
    </xf>
    <xf numFmtId="0" fontId="24" fillId="5" borderId="19" xfId="0" applyFont="1" applyFill="1" applyBorder="1" applyAlignment="1">
      <alignment horizontal="center" vertical="center"/>
    </xf>
    <xf numFmtId="0" fontId="10" fillId="0" borderId="6" xfId="0" applyFont="1" applyBorder="1" applyAlignment="1">
      <alignment horizontal="left" vertical="center" wrapText="1"/>
    </xf>
    <xf numFmtId="0" fontId="12" fillId="0" borderId="5" xfId="0" applyFont="1" applyBorder="1" applyAlignment="1">
      <alignment horizontal="left" vertical="center" wrapText="1"/>
    </xf>
    <xf numFmtId="0" fontId="12" fillId="0" borderId="7" xfId="0" applyFont="1" applyBorder="1" applyAlignment="1">
      <alignment horizontal="left" vertical="center" wrapText="1"/>
    </xf>
    <xf numFmtId="0" fontId="0" fillId="2" borderId="6" xfId="0" applyFill="1" applyBorder="1" applyAlignment="1">
      <alignment horizontal="left" vertical="center" wrapText="1"/>
    </xf>
    <xf numFmtId="0" fontId="39" fillId="0" borderId="6" xfId="0" applyFont="1" applyBorder="1" applyAlignment="1">
      <alignment horizontal="left" vertical="center" wrapText="1"/>
    </xf>
    <xf numFmtId="0" fontId="13" fillId="0" borderId="8" xfId="0" applyFont="1" applyBorder="1" applyAlignment="1">
      <alignment horizontal="left" vertical="center" wrapText="1"/>
    </xf>
    <xf numFmtId="0" fontId="10" fillId="0" borderId="9" xfId="2" applyFont="1" applyBorder="1" applyAlignment="1">
      <alignment horizontal="left" vertical="center" wrapText="1"/>
    </xf>
    <xf numFmtId="0" fontId="13" fillId="3" borderId="8" xfId="0" applyFont="1" applyFill="1" applyBorder="1" applyAlignment="1">
      <alignment horizontal="left" vertical="center" wrapText="1"/>
    </xf>
    <xf numFmtId="0" fontId="10" fillId="0" borderId="9" xfId="0" applyFont="1" applyBorder="1" applyAlignment="1">
      <alignment horizontal="left" vertical="center" wrapText="1"/>
    </xf>
    <xf numFmtId="0" fontId="8" fillId="0" borderId="6" xfId="2" applyBorder="1" applyAlignment="1">
      <alignment horizontal="left" vertical="center" wrapText="1"/>
    </xf>
    <xf numFmtId="0" fontId="41" fillId="0" borderId="8" xfId="0" applyFont="1" applyBorder="1" applyAlignment="1">
      <alignment horizontal="left" vertical="center" wrapText="1"/>
    </xf>
    <xf numFmtId="0" fontId="22" fillId="0" borderId="16" xfId="0" applyFont="1" applyBorder="1" applyAlignment="1">
      <alignment horizontal="left" vertical="center" wrapText="1"/>
    </xf>
    <xf numFmtId="0" fontId="9" fillId="5" borderId="0" xfId="2" applyFont="1" applyFill="1" applyAlignment="1">
      <alignment horizontal="center" vertical="center"/>
    </xf>
    <xf numFmtId="0" fontId="32" fillId="0" borderId="0" xfId="0" applyFont="1" applyAlignment="1">
      <alignment horizontal="center"/>
    </xf>
    <xf numFmtId="0" fontId="19" fillId="0" borderId="20" xfId="2" applyFont="1" applyBorder="1" applyAlignment="1">
      <alignment horizontal="left" vertical="center" wrapText="1"/>
    </xf>
    <xf numFmtId="0" fontId="13" fillId="8" borderId="16" xfId="0" applyFont="1" applyFill="1" applyBorder="1" applyAlignment="1">
      <alignment horizontal="left" vertical="center" wrapText="1"/>
    </xf>
    <xf numFmtId="0" fontId="22" fillId="0" borderId="0" xfId="0" applyFont="1" applyAlignment="1">
      <alignment horizontal="left" vertical="center" wrapText="1"/>
    </xf>
    <xf numFmtId="0" fontId="35" fillId="11" borderId="2" xfId="0" applyFont="1" applyFill="1" applyBorder="1" applyAlignment="1" applyProtection="1">
      <protection locked="0"/>
    </xf>
    <xf numFmtId="0" fontId="0" fillId="0" borderId="0" xfId="0" applyAlignment="1"/>
    <xf numFmtId="0" fontId="3" fillId="2" borderId="2" xfId="0" applyFont="1" applyFill="1" applyBorder="1" applyAlignment="1" applyProtection="1">
      <protection locked="0"/>
    </xf>
  </cellXfs>
  <cellStyles count="3">
    <cellStyle name="Hyperlink" xfId="2" builtinId="8"/>
    <cellStyle name="Normal" xfId="0" builtinId="0"/>
    <cellStyle name="Percent" xfId="1" builtinId="5"/>
  </cellStyles>
  <dxfs count="93">
    <dxf>
      <numFmt numFmtId="30" formatCode="@"/>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0" indent="0" justifyLastLine="0" shrinkToFit="0" readingOrder="0"/>
      <protection locked="1" hidden="1"/>
    </dxf>
    <dxf>
      <border outline="0">
        <bottom style="thin">
          <color theme="5"/>
        </bottom>
      </border>
    </dxf>
    <dxf>
      <protection locked="0" hidden="0"/>
    </dxf>
    <dxf>
      <fill>
        <patternFill patternType="solid">
          <fgColor indexed="64"/>
          <bgColor theme="5" tint="0.39997558519241921"/>
        </patternFill>
      </fill>
      <alignment horizontal="general" vertical="center" textRotation="0" wrapText="1" indent="0" justifyLastLine="0" shrinkToFit="0" readingOrder="0"/>
      <border diagonalUp="0" diagonalDown="0" outline="0">
        <left style="thin">
          <color theme="5"/>
        </left>
        <right style="thin">
          <color theme="5"/>
        </right>
        <top/>
        <bottom/>
      </border>
      <protection locked="1" hidden="0"/>
    </dxf>
    <dxf>
      <border>
        <left style="thin">
          <color theme="4"/>
        </left>
        <right style="thin">
          <color theme="4"/>
        </right>
        <bottom style="dotted">
          <color theme="4"/>
        </bottom>
        <vertical/>
        <horizontal/>
      </border>
    </dxf>
    <dxf>
      <font>
        <b/>
        <i val="0"/>
        <color rgb="FFC00000"/>
      </font>
    </dxf>
    <dxf>
      <font>
        <b/>
        <i val="0"/>
        <color rgb="FFC00000"/>
      </font>
    </dxf>
    <dxf>
      <border>
        <left style="hair">
          <color theme="5" tint="-0.24994659260841701"/>
        </left>
        <right style="hair">
          <color theme="5" tint="-0.24994659260841701"/>
        </right>
        <top style="thin">
          <color theme="5" tint="-0.24994659260841701"/>
        </top>
        <bottom style="thin">
          <color theme="5" tint="-0.24994659260841701"/>
        </bottom>
        <vertical/>
        <horizontal/>
      </border>
    </dxf>
    <dxf>
      <fill>
        <patternFill>
          <bgColor theme="5" tint="0.79998168889431442"/>
        </patternFill>
      </fill>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0" indent="0" justifyLastLine="0" shrinkToFit="0" readingOrder="0"/>
      <protection locked="0" hidden="0"/>
    </dxf>
    <dxf>
      <alignment horizontal="left" vertical="center" textRotation="0" wrapText="0" indent="0" justifyLastLine="0" shrinkToFit="0" readingOrder="0"/>
      <protection locked="0" hidden="0"/>
    </dxf>
    <dxf>
      <border outline="0">
        <bottom style="thin">
          <color theme="4"/>
        </bottom>
      </border>
    </dxf>
    <dxf>
      <border outline="0">
        <top style="thin">
          <color theme="4"/>
        </top>
      </border>
    </dxf>
    <dxf>
      <alignment horizontal="left" vertical="center" textRotation="0" wrapText="1" indent="0" justifyLastLine="0" shrinkToFit="0" readingOrder="0"/>
      <protection locked="0" hidden="0"/>
    </dxf>
    <dxf>
      <fill>
        <patternFill patternType="solid">
          <fgColor indexed="64"/>
          <bgColor theme="4" tint="0.39997558519241921"/>
        </patternFill>
      </fill>
      <alignment horizontal="general" vertical="center" textRotation="0" wrapText="0" indent="0" justifyLastLine="0" shrinkToFit="0" readingOrder="0"/>
      <border diagonalUp="0" diagonalDown="0" outline="0">
        <left style="thin">
          <color theme="4"/>
        </left>
        <right style="thin">
          <color theme="4"/>
        </right>
        <top/>
        <bottom/>
      </border>
      <protection locked="1" hidden="0"/>
    </dxf>
    <dxf>
      <border>
        <left style="thin">
          <color theme="4"/>
        </left>
        <right style="thin">
          <color theme="4"/>
        </right>
        <top style="dotted">
          <color theme="4"/>
        </top>
        <bottom style="dotted">
          <color theme="4"/>
        </bottom>
        <vertical/>
        <horizontal/>
      </border>
    </dxf>
    <dxf>
      <fill>
        <patternFill>
          <bgColor theme="4" tint="0.79998168889431442"/>
        </patternFill>
      </fill>
      <border>
        <left style="thin">
          <color theme="4"/>
        </left>
        <right style="thin">
          <color theme="4"/>
        </right>
        <top style="thin">
          <color theme="4"/>
        </top>
        <bottom style="thin">
          <color theme="4"/>
        </bottom>
        <vertical/>
        <horizontal/>
      </border>
    </dxf>
    <dxf>
      <font>
        <b/>
        <i val="0"/>
        <color rgb="FFC00000"/>
      </font>
      <border>
        <vertical/>
        <horizontal/>
      </border>
    </dxf>
    <dxf>
      <border>
        <left style="thin">
          <color theme="4"/>
        </left>
        <right style="thin">
          <color theme="4"/>
        </right>
        <top style="dotted">
          <color theme="4"/>
        </top>
        <bottom style="dotted">
          <color theme="4"/>
        </bottom>
        <vertical/>
        <horizontal/>
      </border>
    </dxf>
    <dxf>
      <fill>
        <patternFill>
          <bgColor theme="4" tint="0.79998168889431442"/>
        </patternFill>
      </fill>
      <border>
        <left style="thin">
          <color theme="4"/>
        </left>
        <right style="thin">
          <color theme="4"/>
        </right>
        <top style="thin">
          <color theme="4"/>
        </top>
        <bottom style="thin">
          <color theme="4"/>
        </bottom>
        <vertical/>
        <horizontal/>
      </border>
    </dxf>
    <dxf>
      <font>
        <b/>
        <i val="0"/>
        <color rgb="FFC00000"/>
      </font>
      <border>
        <vertical/>
        <horizontal/>
      </border>
    </dxf>
    <dxf>
      <border>
        <left style="thin">
          <color theme="4"/>
        </left>
        <right style="thin">
          <color theme="4"/>
        </right>
        <bottom style="dotted">
          <color theme="4"/>
        </bottom>
        <vertical/>
        <horizontal/>
      </border>
    </dxf>
    <dxf>
      <font>
        <b/>
        <i val="0"/>
        <color theme="0"/>
      </font>
      <fill>
        <patternFill>
          <bgColor rgb="FFFF0000"/>
        </patternFill>
      </fill>
    </dxf>
    <dxf>
      <fill>
        <patternFill>
          <bgColor rgb="FFFF9999"/>
        </patternFill>
      </fill>
      <border>
        <vertical/>
        <horizontal/>
      </border>
    </dxf>
    <dxf>
      <font>
        <b/>
        <i val="0"/>
        <color rgb="FFC00000"/>
      </font>
    </dxf>
    <dxf>
      <font>
        <b/>
        <i val="0"/>
        <color rgb="FFC00000"/>
      </font>
    </dxf>
    <dxf>
      <font>
        <b/>
        <i val="0"/>
        <color theme="0"/>
      </font>
      <fill>
        <patternFill>
          <bgColor rgb="FFFF0000"/>
        </patternFill>
      </fill>
    </dxf>
    <dxf>
      <fill>
        <patternFill>
          <bgColor rgb="FFFF9999"/>
        </patternFill>
      </fill>
      <border>
        <vertical/>
        <horizontal/>
      </border>
    </dxf>
    <dxf>
      <border>
        <left style="thin">
          <color theme="4"/>
        </left>
        <right style="thin">
          <color theme="4"/>
        </right>
        <top style="dotted">
          <color theme="4"/>
        </top>
        <bottom style="dotted">
          <color theme="4"/>
        </bottom>
        <vertical/>
        <horizontal/>
      </border>
    </dxf>
    <dxf>
      <fill>
        <patternFill>
          <bgColor theme="4" tint="0.79998168889431442"/>
        </patternFill>
      </fill>
      <border>
        <left style="thin">
          <color theme="4"/>
        </left>
        <right style="thin">
          <color theme="4"/>
        </right>
        <top style="thin">
          <color theme="4"/>
        </top>
        <bottom style="thin">
          <color theme="4"/>
        </bottom>
        <vertical/>
        <horizontal/>
      </border>
    </dxf>
    <dxf>
      <font>
        <b/>
        <i val="0"/>
        <color rgb="FFC00000"/>
      </font>
      <border>
        <vertical/>
        <horizontal/>
      </border>
    </dxf>
    <dxf>
      <font>
        <b/>
        <i val="0"/>
        <color rgb="FFC00000"/>
      </font>
    </dxf>
    <dxf>
      <font>
        <b/>
        <i val="0"/>
        <color rgb="FFC00000"/>
      </font>
    </dxf>
    <dxf>
      <font>
        <color rgb="FFC00000"/>
      </font>
      <fill>
        <patternFill>
          <bgColor rgb="FFFF9999"/>
        </patternFill>
      </fill>
    </dxf>
    <dxf>
      <font>
        <color rgb="FFC00000"/>
      </font>
      <fill>
        <patternFill>
          <bgColor rgb="FFFF9999"/>
        </patternFill>
      </fill>
    </dxf>
    <dxf>
      <font>
        <color rgb="FFC00000"/>
      </font>
      <fill>
        <patternFill>
          <bgColor rgb="FFFF9999"/>
        </patternFill>
      </fill>
    </dxf>
    <dxf>
      <font>
        <color rgb="FFC00000"/>
      </font>
      <fill>
        <patternFill>
          <bgColor rgb="FFFF9999"/>
        </patternFill>
      </fill>
    </dxf>
    <dxf>
      <font>
        <color rgb="FFC00000"/>
      </font>
      <fill>
        <patternFill>
          <bgColor rgb="FFFF9999"/>
        </patternFill>
      </fill>
    </dxf>
    <dxf>
      <font>
        <color rgb="FFC00000"/>
      </font>
      <fill>
        <patternFill>
          <bgColor rgb="FFFF9999"/>
        </patternFill>
      </fill>
    </dxf>
    <dxf>
      <font>
        <color rgb="FFC00000"/>
      </font>
      <fill>
        <patternFill>
          <bgColor rgb="FFFF9999"/>
        </patternFill>
      </fill>
    </dxf>
    <dxf>
      <font>
        <color rgb="FFC00000"/>
      </font>
      <fill>
        <patternFill>
          <bgColor rgb="FFFF9999"/>
        </patternFill>
      </fill>
    </dxf>
    <dxf>
      <font>
        <color rgb="FFC00000"/>
      </font>
      <fill>
        <patternFill>
          <bgColor rgb="FFFF9999"/>
        </patternFill>
      </fill>
    </dxf>
    <dxf>
      <font>
        <color rgb="FFC00000"/>
      </font>
      <fill>
        <patternFill>
          <bgColor rgb="FFFF9999"/>
        </patternFill>
      </fill>
    </dxf>
    <dxf>
      <font>
        <color rgb="FF9C0006"/>
      </font>
      <fill>
        <patternFill>
          <bgColor rgb="FFFFC7CE"/>
        </patternFill>
      </fill>
    </dxf>
    <dxf>
      <border>
        <left style="hair">
          <color rgb="FF00B050"/>
        </left>
        <right style="hair">
          <color rgb="FF00B050"/>
        </right>
        <top style="thin">
          <color rgb="FF00B050"/>
        </top>
        <bottom style="thin">
          <color rgb="FF00B050"/>
        </bottom>
        <vertical/>
        <horizontal/>
      </border>
    </dxf>
    <dxf>
      <numFmt numFmtId="4" formatCode="#,##0.00"/>
      <fill>
        <patternFill patternType="none">
          <fgColor indexed="64"/>
          <bgColor indexed="65"/>
        </patternFill>
      </fill>
      <alignment horizontal="left" vertical="center" textRotation="0" wrapText="1" indent="0" justifyLastLine="0" shrinkToFit="0" readingOrder="0"/>
      <protection locked="0" hidden="0"/>
    </dxf>
    <dxf>
      <fill>
        <patternFill patternType="none">
          <fgColor indexed="64"/>
          <bgColor auto="1"/>
        </patternFill>
      </fill>
      <alignment horizontal="left" vertical="center" textRotation="0" wrapText="1" indent="0" justifyLastLine="0" shrinkToFit="0" readingOrder="0"/>
      <protection locked="0" hidden="0"/>
    </dxf>
    <dxf>
      <numFmt numFmtId="4" formatCode="#,##0.00"/>
      <fill>
        <patternFill patternType="none">
          <fgColor indexed="64"/>
          <bgColor indexed="65"/>
        </patternFill>
      </fill>
      <alignment horizontal="left" vertical="center" textRotation="0" wrapText="1" indent="0" justifyLastLine="0" shrinkToFit="0" readingOrder="0"/>
      <protection locked="0" hidden="0"/>
    </dxf>
    <dxf>
      <fill>
        <patternFill patternType="none">
          <fgColor indexed="64"/>
          <bgColor auto="1"/>
        </patternFill>
      </fill>
      <alignment horizontal="left" vertical="center" textRotation="0" wrapText="1" indent="0" justifyLastLine="0" shrinkToFit="0" readingOrder="0"/>
      <protection locked="0" hidden="0"/>
    </dxf>
    <dxf>
      <numFmt numFmtId="4" formatCode="#,##0.00"/>
      <fill>
        <patternFill patternType="none">
          <fgColor indexed="64"/>
          <bgColor indexed="65"/>
        </patternFill>
      </fill>
      <alignment horizontal="left" vertical="center" textRotation="0" wrapText="1" indent="0" justifyLastLine="0" shrinkToFit="0" readingOrder="0"/>
      <protection locked="0" hidden="0"/>
    </dxf>
    <dxf>
      <fill>
        <patternFill patternType="none">
          <fgColor indexed="64"/>
          <bgColor auto="1"/>
        </patternFill>
      </fill>
      <alignment horizontal="left" vertical="center" textRotation="0" wrapText="1" indent="0" justifyLastLine="0" shrinkToFit="0" readingOrder="0"/>
      <protection locked="0" hidden="0"/>
    </dxf>
    <dxf>
      <numFmt numFmtId="4" formatCode="#,##0.00"/>
      <fill>
        <patternFill patternType="none">
          <fgColor indexed="64"/>
          <bgColor indexed="65"/>
        </patternFill>
      </fill>
      <alignment horizontal="left" vertical="center" textRotation="0" wrapText="1" indent="0" justifyLastLine="0" shrinkToFit="0" readingOrder="0"/>
      <protection locked="0" hidden="0"/>
    </dxf>
    <dxf>
      <fill>
        <patternFill patternType="none">
          <fgColor indexed="64"/>
          <bgColor auto="1"/>
        </patternFill>
      </fill>
      <alignment horizontal="left" vertical="center" textRotation="0" wrapText="1" indent="0" justifyLastLine="0" shrinkToFit="0" readingOrder="0"/>
      <protection locked="0" hidden="0"/>
    </dxf>
    <dxf>
      <numFmt numFmtId="4" formatCode="#,##0.00"/>
      <fill>
        <patternFill patternType="none">
          <fgColor indexed="64"/>
          <bgColor indexed="65"/>
        </patternFill>
      </fill>
      <alignment horizontal="left" vertical="center" textRotation="0" wrapText="1" indent="0" justifyLastLine="0" shrinkToFit="0" readingOrder="0"/>
      <protection locked="0" hidden="0"/>
    </dxf>
    <dxf>
      <fill>
        <patternFill patternType="none">
          <fgColor indexed="64"/>
          <bgColor auto="1"/>
        </patternFill>
      </fill>
      <alignment horizontal="left" vertical="center" textRotation="0" wrapText="1" indent="0" justifyLastLine="0" shrinkToFit="0" readingOrder="0"/>
      <protection locked="0" hidden="0"/>
    </dxf>
    <dxf>
      <fill>
        <patternFill patternType="none">
          <fgColor indexed="64"/>
          <bgColor auto="1"/>
        </patternFill>
      </fill>
      <alignment horizontal="left" vertical="center" textRotation="0" wrapText="1" indent="0" justifyLastLine="0" shrinkToFit="0" readingOrder="0"/>
      <protection locked="0" hidden="0"/>
    </dxf>
    <dxf>
      <fill>
        <patternFill patternType="none">
          <fgColor indexed="64"/>
          <bgColor auto="1"/>
        </patternFill>
      </fill>
      <alignment horizontal="left" vertical="center" textRotation="0" wrapText="0" indent="0" justifyLastLine="0" shrinkToFit="0" readingOrder="0"/>
      <protection locked="0" hidden="0"/>
    </dxf>
    <dxf>
      <border outline="0">
        <bottom style="thin">
          <color theme="9"/>
        </bottom>
      </border>
    </dxf>
    <dxf>
      <border outline="0">
        <top style="thin">
          <color rgb="FF00B050"/>
        </top>
      </border>
    </dxf>
    <dxf>
      <fill>
        <patternFill patternType="none">
          <fgColor indexed="64"/>
          <bgColor auto="1"/>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11"/>
        <color rgb="FF00B050"/>
        <name val="Calibri"/>
        <family val="2"/>
        <scheme val="minor"/>
      </font>
      <alignment horizontal="left" vertical="center" textRotation="0" wrapText="1" indent="0" justifyLastLine="0" shrinkToFit="0" readingOrder="0"/>
      <border diagonalUp="0" diagonalDown="0" outline="0">
        <left style="thin">
          <color theme="9"/>
        </left>
        <right style="thin">
          <color theme="9"/>
        </right>
        <top/>
        <bottom/>
      </border>
    </dxf>
    <dxf>
      <fill>
        <patternFill patternType="solid">
          <fgColor auto="1"/>
          <bgColor rgb="FFFF5050"/>
        </patternFill>
      </fill>
    </dxf>
    <dxf>
      <fill>
        <patternFill patternType="solid">
          <fgColor auto="1"/>
          <bgColor rgb="FFFF5050"/>
        </patternFill>
      </fill>
    </dxf>
    <dxf>
      <fill>
        <patternFill patternType="solid">
          <fgColor auto="1"/>
          <bgColor rgb="FFFF5050"/>
        </patternFill>
      </fill>
    </dxf>
    <dxf>
      <fill>
        <patternFill patternType="solid">
          <fgColor auto="1"/>
          <bgColor rgb="FFFF5050"/>
        </patternFill>
      </fill>
    </dxf>
    <dxf>
      <fill>
        <patternFill patternType="solid">
          <fgColor auto="1"/>
          <bgColor rgb="FFFF5050"/>
        </patternFill>
      </fill>
    </dxf>
    <dxf>
      <fill>
        <patternFill patternType="solid">
          <fgColor auto="1"/>
          <bgColor rgb="FFFF5050"/>
        </patternFill>
      </fill>
    </dxf>
    <dxf>
      <fill>
        <patternFill patternType="solid">
          <fgColor auto="1"/>
          <bgColor rgb="FFFF5050"/>
        </patternFill>
      </fill>
    </dxf>
    <dxf>
      <fill>
        <patternFill patternType="solid">
          <fgColor auto="1"/>
          <bgColor rgb="FFFF5050"/>
        </patternFill>
      </fill>
    </dxf>
    <dxf>
      <fill>
        <patternFill patternType="solid">
          <fgColor auto="1"/>
          <bgColor rgb="FFFF5050"/>
        </patternFill>
      </fill>
    </dxf>
    <dxf>
      <fill>
        <patternFill patternType="solid">
          <fgColor auto="1"/>
          <bgColor rgb="FFFF5050"/>
        </patternFill>
      </fill>
    </dxf>
    <dxf>
      <fill>
        <patternFill>
          <bgColor theme="9" tint="0.79998168889431442"/>
        </patternFill>
      </fill>
      <border>
        <left style="thin">
          <color rgb="FF00B050"/>
        </left>
        <right style="thin">
          <color rgb="FF00B050"/>
        </right>
        <top style="dotted">
          <color rgb="FF00B050"/>
        </top>
        <bottom style="dotted">
          <color rgb="FF00B050"/>
        </bottom>
        <vertical/>
        <horizontal/>
      </border>
    </dxf>
    <dxf>
      <font>
        <b/>
        <i val="0"/>
        <color rgb="FFC00000"/>
      </font>
    </dxf>
    <dxf>
      <font>
        <b/>
        <i val="0"/>
        <color rgb="FFC00000"/>
      </font>
    </dxf>
    <dxf>
      <font>
        <b/>
        <i val="0"/>
        <color rgb="FFC00000"/>
      </font>
    </dxf>
    <dxf>
      <font>
        <color rgb="FF9C0006"/>
      </font>
      <fill>
        <patternFill>
          <bgColor rgb="FFFFC7CE"/>
        </patternFill>
      </fill>
    </dxf>
    <dxf>
      <font>
        <color rgb="FFC00000"/>
      </font>
      <fill>
        <patternFill>
          <bgColor rgb="FFFF9999"/>
        </patternFill>
      </fill>
    </dxf>
    <dxf>
      <border>
        <left style="thin">
          <color rgb="FF00B050"/>
        </left>
        <right style="thin">
          <color rgb="FF00B050"/>
        </right>
        <top style="dotted">
          <color rgb="FF00B050"/>
        </top>
        <bottom style="dotted">
          <color rgb="FF00B050"/>
        </bottom>
        <vertical/>
        <horizontal/>
      </border>
    </dxf>
  </dxfs>
  <tableStyles count="0" defaultTableStyle="TableStyleMedium2" defaultPivotStyle="PivotStyleLight16"/>
  <colors>
    <mruColors>
      <color rgb="FFFF5050"/>
      <color rgb="FFFF99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C67D42-3231-4F3B-A4E7-3366BB6B1A44}" name="Table5" displayName="Table5" ref="A15:L200" totalsRowShown="0" headerRowDxfId="75" dataDxfId="74" headerRowBorderDxfId="72" tableBorderDxfId="73">
  <autoFilter ref="A15:L200" xr:uid="{22C67D42-3231-4F3B-A4E7-3366BB6B1A44}"/>
  <tableColumns count="12">
    <tableColumn id="1" xr3:uid="{32F1EBE7-B207-4313-9996-D0C3FB0A5032}" name="Question Type" dataDxfId="71"/>
    <tableColumn id="2" xr3:uid="{27392655-7BE7-4677-9A8D-752B30A80A5D}" name="Question Text" dataDxfId="70"/>
    <tableColumn id="3" xr3:uid="{197D7003-35F9-4677-A636-3E844A23B58A}" name="Option1" dataDxfId="69"/>
    <tableColumn id="4" xr3:uid="{45FC2C63-0349-41DF-969E-E8D0F3FE832A}" name="Correct Answer1" dataDxfId="68"/>
    <tableColumn id="5" xr3:uid="{BB075BBB-B219-444A-B07C-13A7D8DF37EA}" name="Option2" dataDxfId="67"/>
    <tableColumn id="6" xr3:uid="{03588996-E153-4E2E-8724-86C0842DCB8A}" name="Correct Answer2" dataDxfId="66"/>
    <tableColumn id="7" xr3:uid="{DE10EB9F-67F9-43EF-A097-E2D193077F51}" name="Option3" dataDxfId="65"/>
    <tableColumn id="8" xr3:uid="{F1B77720-D46E-40EB-AFEA-9F7BC57F6D2B}" name="Correct Answer3" dataDxfId="64"/>
    <tableColumn id="9" xr3:uid="{A77B97F1-A6F4-4FD5-9EA0-8BEBF1A3B13B}" name="Option4" dataDxfId="63"/>
    <tableColumn id="10" xr3:uid="{E50DE88C-25D4-4B6F-AD82-6C5FE97DA3A1}" name="Correct Answer4" dataDxfId="62"/>
    <tableColumn id="11" xr3:uid="{3F79B535-A157-47F7-8C1C-A80BC4A42491}" name="Option5" dataDxfId="61"/>
    <tableColumn id="12" xr3:uid="{F2F25061-568C-4119-BC45-3EE6EA888CA2}" name="Correct Answer5" dataDxfId="6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AEED6DB-894D-4B85-B88B-498824522E84}" name="Table12" displayName="Table12" ref="A14:E201" totalsRowShown="0" headerRowDxfId="29" dataDxfId="28" headerRowBorderDxfId="26" tableBorderDxfId="27">
  <autoFilter ref="A14:E201" xr:uid="{6AEED6DB-894D-4B85-B88B-498824522E84}"/>
  <tableColumns count="5">
    <tableColumn id="1" xr3:uid="{B828ED35-F2C2-42D9-8AEF-24B026A408F2}" name="Order" dataDxfId="25"/>
    <tableColumn id="2" xr3:uid="{303EBEC5-8210-4877-BC3F-6A82AFE6376A}" name="Record Type" dataDxfId="24"/>
    <tableColumn id="3" xr3:uid="{CBABD7ED-8E37-4CF1-8322-2D6DA10E780F}" name="Module Name" dataDxfId="23"/>
    <tableColumn id="4" xr3:uid="{1D5690B9-EC45-4EB9-A768-226A014A34D5}" name="Module Link (either Sharepoint or MT links)" dataDxfId="22"/>
    <tableColumn id="5" xr3:uid="{DE1CAB46-AC04-472B-A9FD-A3A5A2309494}" name="Module Description" dataDxfId="2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93EC47E-058B-4627-AD06-C6174985D3DC}" name="Table8" displayName="Table8" ref="A10:L20" totalsRowShown="0" headerRowDxfId="15" dataDxfId="14" headerRowBorderDxfId="13">
  <autoFilter ref="A10:L20" xr:uid="{193EC47E-058B-4627-AD06-C6174985D3DC}"/>
  <tableColumns count="12">
    <tableColumn id="1" xr3:uid="{584031AC-8438-488C-8695-73D090CDB471}" name="Track Level Order" dataDxfId="12"/>
    <tableColumn id="2" xr3:uid="{FFEF07D4-42AC-4A48-9F49-A3FD093B0235}" name="Track Level Name" dataDxfId="11"/>
    <tableColumn id="3" xr3:uid="{DD468734-4602-4B34-8CA9-7E1D0C5EA99B}" name="Series (1)" dataDxfId="10"/>
    <tableColumn id="4" xr3:uid="{28A16CDC-7C3F-4667-B934-838313022E5A}" name="Series (2)" dataDxfId="9"/>
    <tableColumn id="5" xr3:uid="{113EF72E-2C11-4308-9736-B890C702B862}" name="Series (3)" dataDxfId="8"/>
    <tableColumn id="6" xr3:uid="{1CAB3938-EEB4-4C24-A0B9-E12DDF444F0F}" name="Series (4)" dataDxfId="7"/>
    <tableColumn id="7" xr3:uid="{B5826D8E-0F12-4D7B-BE53-1CD261755509}" name="Series (5)" dataDxfId="6"/>
    <tableColumn id="8" xr3:uid="{1CCDAA92-A7A3-4559-B81A-FBF4B9AE914D}" name="Series (6)" dataDxfId="5"/>
    <tableColumn id="9" xr3:uid="{0FCA2F84-FD83-4FC0-B802-129315ABBBC1}" name="Series (7)" dataDxfId="4"/>
    <tableColumn id="10" xr3:uid="{9D085F15-0682-4D8A-A902-342954623025}" name="Series (8)" dataDxfId="3"/>
    <tableColumn id="11" xr3:uid="{0F5CAA76-13BC-4469-BF73-DA71531954A1}" name="Series (9)" dataDxfId="2"/>
    <tableColumn id="12" xr3:uid="{B3E80418-AC09-4282-BC3E-939A36345441}" name="Series (10)" dataDxfId="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05E6B0-ED97-4A89-B1C0-0BFA1C356CFD}" name="Qtype" displayName="Qtype" ref="A1:A4" totalsRowShown="0">
  <autoFilter ref="A1:A4" xr:uid="{4A05E6B0-ED97-4A89-B1C0-0BFA1C356CFD}"/>
  <sortState xmlns:xlrd2="http://schemas.microsoft.com/office/spreadsheetml/2017/richdata2" ref="A2:A4">
    <sortCondition ref="A1:A4"/>
  </sortState>
  <tableColumns count="1">
    <tableColumn id="1" xr3:uid="{927775FF-E7F5-41E0-AEEC-C6F74EDA11D9}" name="Q Typ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1E00C5-F1FD-45BD-86AC-A153FFA8449B}" name="Table3" displayName="Table3" ref="C1:C4" totalsRowShown="0">
  <autoFilter ref="C1:C4" xr:uid="{E61E00C5-F1FD-45BD-86AC-A153FFA8449B}"/>
  <tableColumns count="1">
    <tableColumn id="1" xr3:uid="{DBDFA1C9-B28F-459C-BA22-C1B6603F48E3}" name="Additional Informa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7C6308-45F5-45C2-AE05-C0ECDD3EDC5B}" name="Table4" displayName="Table4" ref="E1:E12" totalsRowShown="0">
  <autoFilter ref="E1:E12" xr:uid="{DA7C6308-45F5-45C2-AE05-C0ECDD3EDC5B}"/>
  <tableColumns count="1">
    <tableColumn id="1" xr3:uid="{1B3A5AAE-37B8-4F58-B202-212A431070A2}" name="Languag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DDF544A-0A5C-42A0-A751-1D9167D6A5B9}" name="Table6" displayName="Table6" ref="G1:G3" totalsRowShown="0">
  <autoFilter ref="G1:G3" xr:uid="{4DDF544A-0A5C-42A0-A751-1D9167D6A5B9}"/>
  <tableColumns count="1">
    <tableColumn id="1" xr3:uid="{0E316C5B-8EF3-430B-A482-FA834B514E93}" name="Correct Answ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E4C3005-1911-4904-9940-77D6AE1699E6}" name="Table9" displayName="Table9" ref="I1:I5" totalsRowShown="0">
  <autoFilter ref="I1:I5" xr:uid="{9E4C3005-1911-4904-9940-77D6AE1699E6}"/>
  <tableColumns count="1">
    <tableColumn id="1" xr3:uid="{B0270A81-A9E7-4582-93CD-C11CCC360CE2}" name="Stag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AC195EF-4137-4E41-97DB-B343C5A96404}" name="Table10" displayName="Table10" ref="K1:K15" totalsRowShown="0">
  <autoFilter ref="K1:K15" xr:uid="{EAC195EF-4137-4E41-97DB-B343C5A96404}"/>
  <sortState xmlns:xlrd2="http://schemas.microsoft.com/office/spreadsheetml/2017/richdata2" ref="K2:K14">
    <sortCondition ref="K1:K14"/>
  </sortState>
  <tableColumns count="1">
    <tableColumn id="1" xr3:uid="{5926240E-808B-4355-924D-90E9D82A8689}" name="Architectu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FE676B3-700D-4F07-988D-9BCE4746AF07}" name="Table11" displayName="Table11" ref="M1:M4" totalsRowShown="0">
  <autoFilter ref="M1:M4" xr:uid="{1FE676B3-700D-4F07-988D-9BCE4746AF07}"/>
  <tableColumns count="1">
    <tableColumn id="1" xr3:uid="{2DA4E760-7CE8-4F4C-9AB7-F9DFEB75384B}" name="Section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6EC775-5945-44BB-8BBF-FD15AFE66A51}" name="Table2" displayName="Table2" ref="O1:O18" totalsRowShown="0">
  <autoFilter ref="O1:O18" xr:uid="{376EC775-5945-44BB-8BBF-FD15AFE66A51}"/>
  <tableColumns count="1">
    <tableColumn id="1" xr3:uid="{CD0034FD-899D-47B9-8CB1-44D32939FA49}" name="Record Typ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E79AFB-E2FA-4A40-92B4-2DC77AD8C5FF}" name="Table7" displayName="Table7" ref="W1:W113" totalsRowShown="0">
  <autoFilter ref="W1:W113" xr:uid="{3EE79AFB-E2FA-4A40-92B4-2DC77AD8C5FF}"/>
  <tableColumns count="1">
    <tableColumn id="1" xr3:uid="{37D740F7-F0E0-468E-89EF-EA98749BAFFC}" name="Cisco ID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f:/s/CiscoBlackBeltPartnerAcademy/Ehltrad7D01Im1zRmPGvwJYBm0oc1yHrmsiKG9Lem-eZUw?e=Tv3kd0" TargetMode="External"/><Relationship Id="rId1" Type="http://schemas.openxmlformats.org/officeDocument/2006/relationships/hyperlink" Target="https://myciscosalesconnect.file.force.com/sfc/dist/version/download/?oid=00D8c000005u363&amp;ids=0688c00000Dc6wG&amp;d=%2Fa%2F8c000000gIsr%2FCk08eVzNYlxF3RMjfyfL6irDN2NBswxFxyH_0jWHUgU&amp;asPdf=false" TargetMode="Externa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hyperlink" Target="https://cisco.sharepoint.com/:f:/r/Sites/CiscoBlackBeltPartnerAcademy/Shared%20Documents/Editing%20Studio/Output/Understanding%20Cisco%20Private%20Cloud%20Contact%20Center%20Enterprise%20offering%20WCCE?csf=1&amp;web=1&amp;e=VzEFQm" TargetMode="External"/><Relationship Id="rId13" Type="http://schemas.openxmlformats.org/officeDocument/2006/relationships/table" Target="../tables/table2.xml"/><Relationship Id="rId3" Type="http://schemas.openxmlformats.org/officeDocument/2006/relationships/hyperlink" Target="https://help.webex.com/en-us/article/nhy3hvdb/What's-New-in-Webex-Contact-Center-Enterprise" TargetMode="External"/><Relationship Id="rId7" Type="http://schemas.openxmlformats.org/officeDocument/2006/relationships/hyperlink" Target="https://cisco.sharepoint.com/:f:/r/Sites/CiscoBlackBeltPartnerAcademy/Shared%20Documents/Editing%20Studio/Output/Understanding%20Cisco%20Private%20Cloud%20Contact%20Center%20Enterprise%20offering%20WCCE?csf=1&amp;web=1&amp;e=VzEFQm" TargetMode="External"/><Relationship Id="rId12" Type="http://schemas.openxmlformats.org/officeDocument/2006/relationships/printerSettings" Target="../printerSettings/printerSettings2.bin"/><Relationship Id="rId2" Type="http://schemas.openxmlformats.org/officeDocument/2006/relationships/hyperlink" Target="https://cisco.sharepoint.com/:f:/r/Sites/CiscoBlackBeltPartnerAcademy/Shared%20Documents/Mindtickle%20Publishing/Black%20Belt%20WebEx%20Contact%20Center%20Enterprise%20Support%20Stage%202?csf=1&amp;web=1&amp;e=RWCisW" TargetMode="External"/><Relationship Id="rId1" Type="http://schemas.openxmlformats.org/officeDocument/2006/relationships/hyperlink" Target="../../../../../:f:/s/CiscoBlackBeltPartnerAcademy/Esn0f_1lwfBPtHbKVxx_MW4Bb2d5XquX28S7TLpPm49fwg?e=Xm8x0W" TargetMode="External"/><Relationship Id="rId6" Type="http://schemas.openxmlformats.org/officeDocument/2006/relationships/hyperlink" Target="https://cisco.sharepoint.com/:f:/r/Sites/CiscoBlackBeltPartnerAcademy/Shared%20Documents/Mindtickle%20Publishing/Black%20Belt%20WebEx%20Contact%20Center%20Enterprise%20Support%20Stage%202?csf=1&amp;web=1&amp;e=CfYyAq" TargetMode="External"/><Relationship Id="rId11" Type="http://schemas.openxmlformats.org/officeDocument/2006/relationships/hyperlink" Target="https://cisco.sharepoint.com/:f:/r/Sites/CiscoBlackBeltPartnerAcademy/Shared%20Documents/Mindtickle%20Publishing/Black%20Belt%20WebEx%20Contact%20Center%20Enterprise%20Support%20Stage%202?csf=1&amp;web=1&amp;e=E2gWPZ" TargetMode="External"/><Relationship Id="rId5" Type="http://schemas.openxmlformats.org/officeDocument/2006/relationships/hyperlink" Target="https://video.cisco.com/detail/video/6200227780001?autoStart=true&amp;q=webex%20contact%20center" TargetMode="External"/><Relationship Id="rId10" Type="http://schemas.openxmlformats.org/officeDocument/2006/relationships/hyperlink" Target="https://cisco.sharepoint.com/:f:/r/Sites/CiscoBlackBeltPartnerAcademy/Shared%20Documents/Editing%20Studio/Output/Understanding%20Cisco%20Private%20Cloud%20Contact%20Center%20Enterprise%20offering%20WCCE?csf=1&amp;web=1&amp;e=VzEFQm" TargetMode="External"/><Relationship Id="rId4" Type="http://schemas.openxmlformats.org/officeDocument/2006/relationships/hyperlink" Target="https://help.webex.com/en-us/article/nyosarq/Webex-Contact-Center-Enterprise-Quick-Deployment-Solution" TargetMode="External"/><Relationship Id="rId9" Type="http://schemas.openxmlformats.org/officeDocument/2006/relationships/hyperlink" Target="https://cisco.sharepoint.com/:f:/r/Sites/CiscoBlackBeltPartnerAcademy/Shared%20Documents/Editing%20Studio/Output/Understanding%20Cisco%20Private%20Cloud%20Contact%20Center%20Enterprise%20offering%20WCCE?csf=1&amp;web=1&amp;e=VzEFQm"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hyperlink" Target="../../../../../:f:/s/CiscoBlackBeltPartnerAcademy/Esn0f_1lwfBPtHbKVxx_MW4Bb2d5XquX28S7TLpPm49fwg?e=Xm8x0W"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cs.co/BBALPlanv1" TargetMode="External"/><Relationship Id="rId7" Type="http://schemas.openxmlformats.org/officeDocument/2006/relationships/hyperlink" Target="../../../../../../:f:/s/CiscoBlackBeltPartnerAcademy/EuOqZdUPXNNGkfc2BtzzUXsBylYdqZXp2HizYynekxqDNQ?e=bZYJM1" TargetMode="External"/><Relationship Id="rId2" Type="http://schemas.openxmlformats.org/officeDocument/2006/relationships/hyperlink" Target="http://cs.co/BBALPlanv1" TargetMode="External"/><Relationship Id="rId1" Type="http://schemas.openxmlformats.org/officeDocument/2006/relationships/hyperlink" Target="https://cs.co/BBAQuizv1" TargetMode="External"/><Relationship Id="rId6" Type="http://schemas.openxmlformats.org/officeDocument/2006/relationships/hyperlink" Target="../../../../../../:f:/s/CiscoBlackBeltPartnerAcademy/EuOqZdUPXNNGkfc2BtzzUXsBylYdqZXp2HizYynekxqDNQ?e=bZYJM1" TargetMode="External"/><Relationship Id="rId5" Type="http://schemas.openxmlformats.org/officeDocument/2006/relationships/hyperlink" Target="../../../../../../:f:/s/CiscoBlackBeltPartnerAcademy/EuOqZdUPXNNGkfc2BtzzUXsBylYdqZXp2HizYynekxqDNQ?e=bZYJM1" TargetMode="External"/><Relationship Id="rId4" Type="http://schemas.openxmlformats.org/officeDocument/2006/relationships/hyperlink" Target="../../../../../:x:/r/Sites/CiscoBlackBeltPartnerAcademy/Shared%20Documents/Repository%20(2021-2022)/Black%20Belt%20%20-%20Automation%20RPA/230713_Appinium_Intake_Template_v1.xlsx?d=w7fc4d288a01942029679e0a6c8601e4b&amp;csf=1&amp;web=1&amp;e=76CfGX" TargetMode="External"/></Relationships>
</file>

<file path=xl/worksheets/_rels/sheet7.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printerSettings" Target="../printerSettings/printerSettings5.bin"/><Relationship Id="rId6" Type="http://schemas.openxmlformats.org/officeDocument/2006/relationships/table" Target="../tables/table8.xml"/><Relationship Id="rId5" Type="http://schemas.openxmlformats.org/officeDocument/2006/relationships/table" Target="../tables/table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CC260-D796-4200-8ADA-BD2701F6F560}">
  <sheetPr codeName="Sheet1">
    <tabColor theme="9" tint="0.39997558519241921"/>
  </sheetPr>
  <dimension ref="A1:XFD1048576"/>
  <sheetViews>
    <sheetView showGridLines="0" zoomScaleNormal="100" workbookViewId="0">
      <selection activeCell="C17" sqref="C17"/>
    </sheetView>
  </sheetViews>
  <sheetFormatPr defaultColWidth="8.7109375" defaultRowHeight="14.45"/>
  <cols>
    <col min="1" max="1" width="21.28515625" style="26" customWidth="1"/>
    <col min="2" max="3" width="34.7109375" style="26" customWidth="1"/>
    <col min="4" max="4" width="16.7109375" style="26" customWidth="1"/>
    <col min="5" max="5" width="34.7109375" style="26" customWidth="1"/>
    <col min="6" max="6" width="16.7109375" style="26" customWidth="1"/>
    <col min="7" max="7" width="34.7109375" style="26" customWidth="1"/>
    <col min="8" max="8" width="16.7109375" style="26" customWidth="1"/>
    <col min="9" max="9" width="34.140625" style="26" customWidth="1"/>
    <col min="10" max="10" width="16.7109375" style="26" customWidth="1"/>
    <col min="11" max="11" width="34.7109375" style="26" customWidth="1"/>
    <col min="12" max="12" width="16.7109375" style="26" customWidth="1"/>
    <col min="13" max="24" width="8.7109375" style="26"/>
    <col min="25" max="25" width="14.28515625" style="26" customWidth="1"/>
    <col min="26" max="16384" width="8.7109375" style="26"/>
  </cols>
  <sheetData>
    <row r="1" spans="1:13" customFormat="1" ht="43.35" customHeight="1">
      <c r="A1" s="126" t="s">
        <v>0</v>
      </c>
      <c r="B1" s="126"/>
      <c r="C1" s="126"/>
      <c r="D1" s="126"/>
      <c r="E1" s="126"/>
      <c r="F1" s="126"/>
      <c r="G1" s="126"/>
      <c r="H1" s="126"/>
      <c r="I1" s="126"/>
      <c r="J1" s="126"/>
      <c r="K1" s="126"/>
      <c r="L1" s="126"/>
    </row>
    <row r="2" spans="1:13" customFormat="1"/>
    <row r="3" spans="1:13">
      <c r="A3" s="32" t="s">
        <v>1</v>
      </c>
      <c r="B3" s="152" t="s">
        <v>2</v>
      </c>
      <c r="C3" s="152"/>
      <c r="D3" t="s">
        <v>3</v>
      </c>
      <c r="E3" s="32" t="s">
        <v>4</v>
      </c>
      <c r="F3" s="33"/>
      <c r="G3" s="36">
        <f>IF(ISBLANK($K$9),RIGHT(B14,2)*2,$K$9*2)</f>
        <v>6</v>
      </c>
      <c r="H3"/>
      <c r="I3" s="33" t="s">
        <v>5</v>
      </c>
      <c r="J3" s="33"/>
      <c r="K3" s="3" t="s">
        <v>6</v>
      </c>
      <c r="L3" s="71" t="s">
        <v>7</v>
      </c>
      <c r="M3"/>
    </row>
    <row r="4" spans="1:13" customFormat="1">
      <c r="B4" s="153"/>
      <c r="C4" s="153"/>
    </row>
    <row r="5" spans="1:13">
      <c r="A5" s="33" t="s">
        <v>8</v>
      </c>
      <c r="B5" s="152"/>
      <c r="C5" s="152"/>
      <c r="D5" t="s">
        <v>3</v>
      </c>
      <c r="E5" s="32" t="s">
        <v>9</v>
      </c>
      <c r="F5" s="33"/>
      <c r="G5" s="27" t="s">
        <v>10</v>
      </c>
      <c r="H5"/>
      <c r="I5" s="33" t="s">
        <v>11</v>
      </c>
      <c r="J5" s="33"/>
      <c r="K5" s="44"/>
      <c r="L5"/>
      <c r="M5"/>
    </row>
    <row r="6" spans="1:13" customFormat="1">
      <c r="B6" s="153"/>
      <c r="C6" s="153"/>
      <c r="K6" s="45"/>
    </row>
    <row r="7" spans="1:13">
      <c r="A7" s="33" t="s">
        <v>12</v>
      </c>
      <c r="B7" s="154"/>
      <c r="C7" s="154"/>
      <c r="D7" t="s">
        <v>3</v>
      </c>
      <c r="E7" s="32" t="s">
        <v>13</v>
      </c>
      <c r="F7" s="33"/>
      <c r="G7" s="28">
        <v>0.8</v>
      </c>
      <c r="H7"/>
      <c r="I7" s="33" t="s">
        <v>14</v>
      </c>
      <c r="J7" s="33"/>
      <c r="K7" s="44"/>
      <c r="L7" t="s">
        <v>3</v>
      </c>
      <c r="M7"/>
    </row>
    <row r="8" spans="1:13" customFormat="1">
      <c r="B8" s="153"/>
      <c r="C8" s="153"/>
      <c r="K8" s="45"/>
    </row>
    <row r="9" spans="1:13">
      <c r="A9" s="32" t="s">
        <v>15</v>
      </c>
      <c r="B9" s="154" t="s">
        <v>16</v>
      </c>
      <c r="C9" s="154"/>
      <c r="D9"/>
      <c r="E9" s="33" t="s">
        <v>17</v>
      </c>
      <c r="F9" s="33"/>
      <c r="G9" s="28" t="s">
        <v>18</v>
      </c>
      <c r="H9" t="s">
        <v>3</v>
      </c>
      <c r="I9" s="33" t="s">
        <v>19</v>
      </c>
      <c r="J9" s="33"/>
      <c r="K9" s="44"/>
      <c r="L9"/>
      <c r="M9"/>
    </row>
    <row r="10" spans="1:13" customFormat="1">
      <c r="B10" s="153"/>
      <c r="C10" s="153"/>
    </row>
    <row r="11" spans="1:13">
      <c r="A11" s="33" t="s">
        <v>8</v>
      </c>
      <c r="B11" s="154"/>
      <c r="C11" s="154"/>
      <c r="D11" t="s">
        <v>3</v>
      </c>
      <c r="E11"/>
      <c r="F11"/>
      <c r="G11"/>
      <c r="H11"/>
      <c r="I11" s="32" t="s">
        <v>20</v>
      </c>
      <c r="J11" s="33"/>
      <c r="K11" s="28" t="s">
        <v>21</v>
      </c>
      <c r="L11"/>
      <c r="M11"/>
    </row>
    <row r="12" spans="1:13" customFormat="1" ht="15" thickBot="1">
      <c r="A12" s="34"/>
      <c r="B12" s="34"/>
      <c r="C12" s="34"/>
      <c r="D12" s="34"/>
      <c r="E12" s="34"/>
      <c r="F12" s="34"/>
      <c r="G12" s="34"/>
      <c r="H12" s="34"/>
      <c r="I12" s="34"/>
      <c r="J12" s="34"/>
      <c r="K12" s="34"/>
      <c r="L12" s="34"/>
    </row>
    <row r="13" spans="1:13" customFormat="1"/>
    <row r="14" spans="1:13" customFormat="1">
      <c r="A14" s="35" t="s">
        <v>22</v>
      </c>
      <c r="B14" s="100">
        <f>COUNTA(A16:$A$200)</f>
        <v>3</v>
      </c>
    </row>
    <row r="15" spans="1:13" customFormat="1" ht="33" customHeight="1">
      <c r="A15" s="101" t="s">
        <v>23</v>
      </c>
      <c r="B15" s="101" t="s">
        <v>24</v>
      </c>
      <c r="C15" s="101" t="s">
        <v>25</v>
      </c>
      <c r="D15" s="101" t="s">
        <v>26</v>
      </c>
      <c r="E15" s="101" t="s">
        <v>27</v>
      </c>
      <c r="F15" s="101" t="s">
        <v>28</v>
      </c>
      <c r="G15" s="101" t="s">
        <v>29</v>
      </c>
      <c r="H15" s="101" t="s">
        <v>30</v>
      </c>
      <c r="I15" s="101" t="s">
        <v>31</v>
      </c>
      <c r="J15" s="101" t="s">
        <v>32</v>
      </c>
      <c r="K15" s="101" t="s">
        <v>33</v>
      </c>
      <c r="L15" s="101" t="s">
        <v>34</v>
      </c>
    </row>
    <row r="16" spans="1:13" s="31" customFormat="1" ht="105" customHeight="1">
      <c r="A16" s="29" t="s">
        <v>35</v>
      </c>
      <c r="B16" s="102" t="s">
        <v>36</v>
      </c>
      <c r="C16" s="102" t="s">
        <v>37</v>
      </c>
      <c r="D16" s="103" t="s">
        <v>38</v>
      </c>
      <c r="E16" s="102" t="s">
        <v>39</v>
      </c>
      <c r="F16" s="103" t="s">
        <v>40</v>
      </c>
      <c r="G16" s="102" t="s">
        <v>41</v>
      </c>
      <c r="H16" s="103" t="s">
        <v>40</v>
      </c>
      <c r="I16" s="102" t="s">
        <v>42</v>
      </c>
      <c r="J16" s="103" t="s">
        <v>38</v>
      </c>
      <c r="K16" s="102" t="s">
        <v>43</v>
      </c>
      <c r="L16" s="103" t="s">
        <v>38</v>
      </c>
    </row>
    <row r="17" spans="1:12" ht="105" customHeight="1">
      <c r="A17" s="29" t="s">
        <v>44</v>
      </c>
      <c r="B17" s="104" t="s">
        <v>45</v>
      </c>
      <c r="C17" s="104" t="s">
        <v>37</v>
      </c>
      <c r="D17" s="103" t="s">
        <v>40</v>
      </c>
      <c r="E17" s="104" t="s">
        <v>39</v>
      </c>
      <c r="F17" s="103" t="s">
        <v>38</v>
      </c>
      <c r="G17" s="104" t="s">
        <v>41</v>
      </c>
      <c r="H17" s="103" t="s">
        <v>38</v>
      </c>
      <c r="I17" s="104" t="s">
        <v>46</v>
      </c>
      <c r="J17" s="103" t="s">
        <v>38</v>
      </c>
      <c r="K17" s="104" t="s">
        <v>43</v>
      </c>
      <c r="L17" s="103" t="s">
        <v>38</v>
      </c>
    </row>
    <row r="18" spans="1:12" ht="105" customHeight="1">
      <c r="A18" s="29" t="s">
        <v>47</v>
      </c>
      <c r="B18" s="104" t="s">
        <v>48</v>
      </c>
      <c r="C18" s="104" t="b">
        <v>1</v>
      </c>
      <c r="D18" s="103" t="s">
        <v>40</v>
      </c>
      <c r="E18" s="104" t="b">
        <v>0</v>
      </c>
      <c r="F18" s="103" t="s">
        <v>38</v>
      </c>
      <c r="G18" s="104"/>
      <c r="H18" s="103"/>
      <c r="I18" s="104"/>
      <c r="J18" s="103"/>
      <c r="K18" s="104"/>
      <c r="L18" s="103"/>
    </row>
    <row r="19" spans="1:12" ht="105" customHeight="1">
      <c r="A19" s="29"/>
      <c r="B19" s="104"/>
      <c r="C19" s="104"/>
      <c r="D19" s="103"/>
      <c r="E19" s="104"/>
      <c r="F19" s="103"/>
      <c r="G19" s="104"/>
      <c r="H19" s="103"/>
      <c r="I19" s="104"/>
      <c r="J19" s="103"/>
      <c r="K19" s="102"/>
      <c r="L19" s="103"/>
    </row>
    <row r="20" spans="1:12" ht="105" customHeight="1">
      <c r="A20" s="29"/>
      <c r="B20" s="104"/>
      <c r="C20" s="104"/>
      <c r="D20" s="103"/>
      <c r="E20" s="104"/>
      <c r="F20" s="103"/>
      <c r="G20" s="104"/>
      <c r="H20" s="103"/>
      <c r="I20" s="104"/>
      <c r="J20" s="103"/>
      <c r="K20" s="104"/>
      <c r="L20" s="103"/>
    </row>
    <row r="21" spans="1:12" ht="105" customHeight="1">
      <c r="A21" s="29"/>
      <c r="B21" s="104"/>
      <c r="C21" s="104"/>
      <c r="D21" s="103"/>
      <c r="E21" s="104"/>
      <c r="F21" s="103"/>
      <c r="G21" s="104"/>
      <c r="H21" s="103"/>
      <c r="I21" s="104"/>
      <c r="J21" s="103"/>
      <c r="K21" s="102"/>
      <c r="L21" s="103"/>
    </row>
    <row r="22" spans="1:12" ht="105" customHeight="1">
      <c r="A22" s="29"/>
      <c r="B22" s="104"/>
      <c r="C22" s="104"/>
      <c r="D22" s="103"/>
      <c r="E22" s="104"/>
      <c r="F22" s="103"/>
      <c r="G22" s="102"/>
      <c r="H22" s="103"/>
      <c r="I22" s="102"/>
      <c r="J22" s="103"/>
      <c r="K22" s="102"/>
      <c r="L22" s="103"/>
    </row>
    <row r="23" spans="1:12" ht="105" customHeight="1">
      <c r="A23" s="29"/>
      <c r="B23" s="104"/>
      <c r="C23" s="104"/>
      <c r="D23" s="103"/>
      <c r="E23" s="104"/>
      <c r="F23" s="103"/>
      <c r="G23" s="104"/>
      <c r="H23" s="103"/>
      <c r="I23" s="104"/>
      <c r="J23" s="103"/>
      <c r="K23" s="104"/>
      <c r="L23" s="103"/>
    </row>
    <row r="24" spans="1:12" ht="105" customHeight="1">
      <c r="A24" s="29"/>
      <c r="B24" s="104"/>
      <c r="C24" s="105"/>
      <c r="D24" s="103"/>
      <c r="E24" s="105"/>
      <c r="F24" s="103"/>
      <c r="G24" s="105"/>
      <c r="H24" s="103"/>
      <c r="I24" s="105"/>
      <c r="J24" s="103"/>
      <c r="K24" s="104"/>
      <c r="L24" s="103"/>
    </row>
    <row r="25" spans="1:12" ht="105" customHeight="1">
      <c r="A25" s="29"/>
      <c r="B25" s="104"/>
      <c r="C25" s="104"/>
      <c r="D25" s="103"/>
      <c r="E25" s="104"/>
      <c r="F25" s="103"/>
      <c r="G25" s="104"/>
      <c r="H25" s="103"/>
      <c r="I25" s="104"/>
      <c r="J25" s="103"/>
      <c r="K25" s="104"/>
      <c r="L25" s="103"/>
    </row>
    <row r="26" spans="1:12" ht="105" customHeight="1">
      <c r="A26" s="29"/>
      <c r="B26" s="104"/>
      <c r="C26" s="104"/>
      <c r="D26" s="103"/>
      <c r="E26" s="104"/>
      <c r="F26" s="103"/>
      <c r="G26" s="104"/>
      <c r="H26" s="103"/>
      <c r="I26" s="104"/>
      <c r="J26" s="103"/>
      <c r="K26" s="102"/>
      <c r="L26" s="103"/>
    </row>
    <row r="27" spans="1:12" ht="105" customHeight="1">
      <c r="A27" s="29"/>
      <c r="B27" s="104"/>
      <c r="C27" s="104"/>
      <c r="D27" s="103"/>
      <c r="E27" s="104"/>
      <c r="F27" s="103"/>
      <c r="G27" s="102"/>
      <c r="H27" s="103"/>
      <c r="I27" s="102"/>
      <c r="J27" s="103"/>
      <c r="K27" s="102"/>
      <c r="L27" s="103"/>
    </row>
    <row r="28" spans="1:12" ht="105" customHeight="1">
      <c r="A28" s="29"/>
      <c r="B28" s="104"/>
      <c r="C28" s="104"/>
      <c r="D28" s="103"/>
      <c r="E28" s="104"/>
      <c r="F28" s="103"/>
      <c r="G28" s="104"/>
      <c r="H28" s="103"/>
      <c r="I28" s="104"/>
      <c r="J28" s="103"/>
      <c r="K28" s="102"/>
      <c r="L28" s="103"/>
    </row>
    <row r="29" spans="1:12" ht="105" customHeight="1">
      <c r="A29" s="29"/>
      <c r="B29" s="104"/>
      <c r="C29" s="104"/>
      <c r="D29" s="103"/>
      <c r="E29" s="104"/>
      <c r="F29" s="103"/>
      <c r="G29" s="104"/>
      <c r="H29" s="103"/>
      <c r="I29" s="104"/>
      <c r="J29" s="103"/>
      <c r="K29" s="104"/>
      <c r="L29" s="103"/>
    </row>
    <row r="30" spans="1:12" ht="105" customHeight="1">
      <c r="A30" s="29"/>
      <c r="B30" s="104"/>
      <c r="C30" s="104"/>
      <c r="D30" s="103"/>
      <c r="E30" s="104"/>
      <c r="F30" s="103"/>
      <c r="G30" s="104"/>
      <c r="H30" s="103"/>
      <c r="I30" s="104"/>
      <c r="J30" s="103"/>
      <c r="K30" s="102"/>
      <c r="L30" s="103"/>
    </row>
    <row r="31" spans="1:12" ht="105" customHeight="1">
      <c r="A31" s="29"/>
      <c r="B31" s="104"/>
      <c r="C31" s="104"/>
      <c r="D31" s="103"/>
      <c r="E31" s="104"/>
      <c r="F31" s="103"/>
      <c r="G31" s="102"/>
      <c r="H31" s="103"/>
      <c r="I31" s="102"/>
      <c r="J31" s="103"/>
      <c r="K31" s="102"/>
      <c r="L31" s="103"/>
    </row>
    <row r="32" spans="1:12" ht="105" customHeight="1">
      <c r="A32" s="29"/>
      <c r="B32" s="104"/>
      <c r="C32" s="104"/>
      <c r="D32" s="103"/>
      <c r="E32" s="104"/>
      <c r="F32" s="103"/>
      <c r="G32" s="104"/>
      <c r="H32" s="103"/>
      <c r="I32" s="104"/>
      <c r="J32" s="103"/>
      <c r="K32" s="102"/>
      <c r="L32" s="103"/>
    </row>
    <row r="33" spans="1:12" ht="105" customHeight="1">
      <c r="A33" s="29"/>
      <c r="B33" s="104"/>
      <c r="C33" s="104"/>
      <c r="D33" s="103"/>
      <c r="E33" s="104"/>
      <c r="F33" s="103"/>
      <c r="G33" s="104"/>
      <c r="H33" s="103"/>
      <c r="I33" s="104"/>
      <c r="J33" s="103"/>
      <c r="K33" s="102"/>
      <c r="L33" s="103"/>
    </row>
    <row r="34" spans="1:12" ht="105" customHeight="1">
      <c r="A34" s="29"/>
      <c r="B34" s="104"/>
      <c r="C34" s="105"/>
      <c r="D34" s="103"/>
      <c r="E34" s="105"/>
      <c r="F34" s="103"/>
      <c r="G34" s="105"/>
      <c r="H34" s="103"/>
      <c r="I34" s="105"/>
      <c r="J34" s="103"/>
      <c r="K34" s="102"/>
      <c r="L34" s="103"/>
    </row>
    <row r="35" spans="1:12" ht="105" customHeight="1">
      <c r="A35" s="29"/>
      <c r="B35" s="104"/>
      <c r="C35" s="104"/>
      <c r="D35" s="103"/>
      <c r="E35" s="104"/>
      <c r="F35" s="103"/>
      <c r="G35" s="104"/>
      <c r="H35" s="103"/>
      <c r="I35" s="104"/>
      <c r="J35" s="103"/>
      <c r="K35" s="102"/>
      <c r="L35" s="103"/>
    </row>
    <row r="36" spans="1:12" ht="105" customHeight="1">
      <c r="A36" s="29"/>
      <c r="B36" s="104"/>
      <c r="C36" s="104"/>
      <c r="D36" s="103"/>
      <c r="E36" s="104"/>
      <c r="F36" s="103"/>
      <c r="G36" s="104"/>
      <c r="H36" s="103"/>
      <c r="I36" s="104"/>
      <c r="J36" s="103"/>
      <c r="K36" s="102"/>
      <c r="L36" s="103"/>
    </row>
    <row r="37" spans="1:12" ht="105" customHeight="1">
      <c r="A37" s="29"/>
      <c r="B37" s="104"/>
      <c r="C37" s="104"/>
      <c r="D37" s="103"/>
      <c r="E37" s="104"/>
      <c r="F37" s="103"/>
      <c r="G37" s="104"/>
      <c r="H37" s="103"/>
      <c r="I37" s="104"/>
      <c r="J37" s="103"/>
      <c r="K37" s="102"/>
      <c r="L37" s="103"/>
    </row>
    <row r="38" spans="1:12" ht="105" customHeight="1">
      <c r="A38" s="29"/>
      <c r="B38" s="104"/>
      <c r="C38" s="104"/>
      <c r="D38" s="103"/>
      <c r="E38" s="104"/>
      <c r="F38" s="103"/>
      <c r="G38" s="104"/>
      <c r="H38" s="103"/>
      <c r="I38" s="104"/>
      <c r="J38" s="103"/>
      <c r="K38" s="102"/>
      <c r="L38" s="103"/>
    </row>
    <row r="39" spans="1:12" ht="105" customHeight="1">
      <c r="A39" s="29"/>
      <c r="B39" s="104"/>
      <c r="C39" s="104"/>
      <c r="D39" s="103"/>
      <c r="E39" s="104"/>
      <c r="F39" s="103"/>
      <c r="G39" s="104"/>
      <c r="H39" s="103"/>
      <c r="I39" s="104"/>
      <c r="J39" s="103"/>
      <c r="K39" s="102"/>
      <c r="L39" s="103"/>
    </row>
    <row r="40" spans="1:12" ht="105" customHeight="1">
      <c r="A40" s="29"/>
      <c r="B40" s="102"/>
      <c r="C40" s="102"/>
      <c r="D40" s="103"/>
      <c r="E40" s="102"/>
      <c r="F40" s="103"/>
      <c r="G40" s="102"/>
      <c r="H40" s="103"/>
      <c r="I40" s="102"/>
      <c r="J40" s="103"/>
      <c r="K40" s="102"/>
      <c r="L40" s="103"/>
    </row>
    <row r="41" spans="1:12" ht="105" customHeight="1">
      <c r="A41" s="29"/>
      <c r="B41" s="102"/>
      <c r="C41" s="102"/>
      <c r="D41" s="103"/>
      <c r="E41" s="102"/>
      <c r="F41" s="103"/>
      <c r="G41" s="102"/>
      <c r="H41" s="103"/>
      <c r="I41" s="102"/>
      <c r="J41" s="103"/>
      <c r="K41" s="102"/>
      <c r="L41" s="103"/>
    </row>
    <row r="42" spans="1:12" ht="105" customHeight="1">
      <c r="A42" s="29"/>
      <c r="B42" s="102"/>
      <c r="C42" s="102"/>
      <c r="D42" s="103"/>
      <c r="E42" s="102"/>
      <c r="F42" s="103"/>
      <c r="G42" s="102"/>
      <c r="H42" s="103"/>
      <c r="I42" s="102"/>
      <c r="J42" s="103"/>
      <c r="K42" s="102"/>
      <c r="L42" s="103"/>
    </row>
    <row r="43" spans="1:12" ht="105" customHeight="1">
      <c r="A43" s="29"/>
      <c r="B43" s="102"/>
      <c r="C43" s="102"/>
      <c r="D43" s="103"/>
      <c r="E43" s="102"/>
      <c r="F43" s="103"/>
      <c r="G43" s="102"/>
      <c r="H43" s="103"/>
      <c r="I43" s="102"/>
      <c r="J43" s="103"/>
      <c r="K43" s="102"/>
      <c r="L43" s="103"/>
    </row>
    <row r="44" spans="1:12" ht="105" customHeight="1">
      <c r="A44" s="29"/>
      <c r="B44" s="102"/>
      <c r="C44" s="102"/>
      <c r="D44" s="103"/>
      <c r="E44" s="102"/>
      <c r="F44" s="103"/>
      <c r="G44" s="102"/>
      <c r="H44" s="103"/>
      <c r="I44" s="102"/>
      <c r="J44" s="103"/>
      <c r="K44" s="102"/>
      <c r="L44" s="103"/>
    </row>
    <row r="45" spans="1:12" ht="105" customHeight="1">
      <c r="A45" s="29"/>
      <c r="B45" s="102"/>
      <c r="C45" s="102"/>
      <c r="D45" s="103"/>
      <c r="E45" s="102"/>
      <c r="F45" s="103"/>
      <c r="G45" s="102"/>
      <c r="H45" s="103"/>
      <c r="I45" s="102"/>
      <c r="J45" s="103"/>
      <c r="K45" s="102"/>
      <c r="L45" s="103"/>
    </row>
    <row r="46" spans="1:12" ht="105" customHeight="1">
      <c r="A46" s="29"/>
      <c r="B46" s="102"/>
      <c r="C46" s="102"/>
      <c r="D46" s="103"/>
      <c r="E46" s="102"/>
      <c r="F46" s="103"/>
      <c r="G46" s="102"/>
      <c r="H46" s="103"/>
      <c r="I46" s="102"/>
      <c r="J46" s="103"/>
      <c r="K46" s="102"/>
      <c r="L46" s="103"/>
    </row>
    <row r="47" spans="1:12" ht="105" customHeight="1">
      <c r="A47" s="29"/>
      <c r="B47" s="102"/>
      <c r="C47" s="102"/>
      <c r="D47" s="103"/>
      <c r="E47" s="102"/>
      <c r="F47" s="103"/>
      <c r="G47" s="102"/>
      <c r="H47" s="103"/>
      <c r="I47" s="102"/>
      <c r="J47" s="103"/>
      <c r="K47" s="102"/>
      <c r="L47" s="103"/>
    </row>
    <row r="48" spans="1:12" ht="105" customHeight="1">
      <c r="A48" s="29"/>
      <c r="B48" s="102"/>
      <c r="C48" s="102"/>
      <c r="D48" s="103"/>
      <c r="E48" s="102"/>
      <c r="F48" s="103"/>
      <c r="G48" s="102"/>
      <c r="H48" s="103"/>
      <c r="I48" s="102"/>
      <c r="J48" s="103"/>
      <c r="K48" s="102"/>
      <c r="L48" s="103"/>
    </row>
    <row r="49" spans="1:12" ht="105" customHeight="1">
      <c r="A49" s="29"/>
      <c r="B49" s="102"/>
      <c r="C49" s="102"/>
      <c r="D49" s="103"/>
      <c r="E49" s="102"/>
      <c r="F49" s="103"/>
      <c r="G49" s="102"/>
      <c r="H49" s="103"/>
      <c r="I49" s="102"/>
      <c r="J49" s="103"/>
      <c r="K49" s="102"/>
      <c r="L49" s="103"/>
    </row>
    <row r="50" spans="1:12" ht="105" customHeight="1">
      <c r="A50" s="29"/>
      <c r="B50" s="102"/>
      <c r="C50" s="102"/>
      <c r="D50" s="103"/>
      <c r="E50" s="102"/>
      <c r="F50" s="103"/>
      <c r="G50" s="102"/>
      <c r="H50" s="103"/>
      <c r="I50" s="102"/>
      <c r="J50" s="103"/>
      <c r="K50" s="102"/>
      <c r="L50" s="103"/>
    </row>
    <row r="51" spans="1:12" ht="105" customHeight="1">
      <c r="A51" s="29"/>
      <c r="B51" s="102"/>
      <c r="C51" s="102"/>
      <c r="D51" s="103"/>
      <c r="E51" s="102"/>
      <c r="F51" s="103"/>
      <c r="G51" s="102"/>
      <c r="H51" s="103"/>
      <c r="I51" s="102"/>
      <c r="J51" s="103"/>
      <c r="K51" s="102"/>
      <c r="L51" s="103"/>
    </row>
    <row r="52" spans="1:12" ht="105" customHeight="1">
      <c r="A52" s="29"/>
      <c r="B52" s="102"/>
      <c r="C52" s="102"/>
      <c r="D52" s="103"/>
      <c r="E52" s="102"/>
      <c r="F52" s="103"/>
      <c r="G52" s="102"/>
      <c r="H52" s="103"/>
      <c r="I52" s="102"/>
      <c r="J52" s="103"/>
      <c r="K52" s="102"/>
      <c r="L52" s="103"/>
    </row>
    <row r="53" spans="1:12" ht="105" customHeight="1">
      <c r="A53" s="29"/>
      <c r="B53" s="102"/>
      <c r="C53" s="102"/>
      <c r="D53" s="103"/>
      <c r="E53" s="102"/>
      <c r="F53" s="103"/>
      <c r="G53" s="102"/>
      <c r="H53" s="103"/>
      <c r="I53" s="102"/>
      <c r="J53" s="103"/>
      <c r="K53" s="102"/>
      <c r="L53" s="103"/>
    </row>
    <row r="54" spans="1:12" ht="105" customHeight="1">
      <c r="A54" s="29"/>
      <c r="B54" s="102"/>
      <c r="C54" s="102"/>
      <c r="D54" s="103"/>
      <c r="E54" s="102"/>
      <c r="F54" s="103"/>
      <c r="G54" s="102"/>
      <c r="H54" s="103"/>
      <c r="I54" s="102"/>
      <c r="J54" s="103"/>
      <c r="K54" s="102"/>
      <c r="L54" s="103"/>
    </row>
    <row r="55" spans="1:12" ht="105" customHeight="1">
      <c r="A55" s="29"/>
      <c r="B55" s="102"/>
      <c r="C55" s="102"/>
      <c r="D55" s="103"/>
      <c r="E55" s="102"/>
      <c r="F55" s="103"/>
      <c r="G55" s="102"/>
      <c r="H55" s="103"/>
      <c r="I55" s="102"/>
      <c r="J55" s="103"/>
      <c r="K55" s="102"/>
      <c r="L55" s="103"/>
    </row>
    <row r="56" spans="1:12" ht="105" customHeight="1">
      <c r="A56" s="29"/>
      <c r="B56" s="102"/>
      <c r="C56" s="102"/>
      <c r="D56" s="103"/>
      <c r="E56" s="102"/>
      <c r="F56" s="103"/>
      <c r="G56" s="102"/>
      <c r="H56" s="103"/>
      <c r="I56" s="102"/>
      <c r="J56" s="103"/>
      <c r="K56" s="102"/>
      <c r="L56" s="103"/>
    </row>
    <row r="57" spans="1:12" ht="105" customHeight="1">
      <c r="A57" s="29"/>
      <c r="B57" s="102"/>
      <c r="C57" s="102"/>
      <c r="D57" s="103"/>
      <c r="E57" s="102"/>
      <c r="F57" s="103"/>
      <c r="G57" s="102"/>
      <c r="H57" s="103"/>
      <c r="I57" s="102"/>
      <c r="J57" s="103"/>
      <c r="K57" s="102"/>
      <c r="L57" s="103"/>
    </row>
    <row r="58" spans="1:12" ht="105" customHeight="1">
      <c r="A58" s="29"/>
      <c r="B58" s="102"/>
      <c r="C58" s="102"/>
      <c r="D58" s="103"/>
      <c r="E58" s="102"/>
      <c r="F58" s="103"/>
      <c r="G58" s="102"/>
      <c r="H58" s="103"/>
      <c r="I58" s="102"/>
      <c r="J58" s="103"/>
      <c r="K58" s="102"/>
      <c r="L58" s="103"/>
    </row>
    <row r="59" spans="1:12" ht="105" customHeight="1">
      <c r="A59" s="29"/>
      <c r="B59" s="102"/>
      <c r="C59" s="102"/>
      <c r="D59" s="103"/>
      <c r="E59" s="102"/>
      <c r="F59" s="103"/>
      <c r="G59" s="102"/>
      <c r="H59" s="103"/>
      <c r="I59" s="102"/>
      <c r="J59" s="103"/>
      <c r="K59" s="102"/>
      <c r="L59" s="103"/>
    </row>
    <row r="60" spans="1:12" ht="105" customHeight="1">
      <c r="A60" s="29"/>
      <c r="B60" s="102"/>
      <c r="C60" s="102"/>
      <c r="D60" s="103"/>
      <c r="E60" s="102"/>
      <c r="F60" s="103"/>
      <c r="G60" s="102"/>
      <c r="H60" s="103"/>
      <c r="I60" s="102"/>
      <c r="J60" s="103"/>
      <c r="K60" s="102"/>
      <c r="L60" s="103"/>
    </row>
    <row r="61" spans="1:12" ht="105" customHeight="1">
      <c r="A61" s="29"/>
      <c r="B61" s="102"/>
      <c r="C61" s="102"/>
      <c r="D61" s="103"/>
      <c r="E61" s="102"/>
      <c r="F61" s="103"/>
      <c r="G61" s="102"/>
      <c r="H61" s="103"/>
      <c r="I61" s="102"/>
      <c r="J61" s="103"/>
      <c r="K61" s="102"/>
      <c r="L61" s="103"/>
    </row>
    <row r="62" spans="1:12" ht="105" customHeight="1">
      <c r="A62" s="29"/>
      <c r="B62" s="102"/>
      <c r="C62" s="102"/>
      <c r="D62" s="103"/>
      <c r="E62" s="102"/>
      <c r="F62" s="103"/>
      <c r="G62" s="102"/>
      <c r="H62" s="103"/>
      <c r="I62" s="102"/>
      <c r="J62" s="103"/>
      <c r="K62" s="102"/>
      <c r="L62" s="103"/>
    </row>
    <row r="63" spans="1:12" ht="105" customHeight="1">
      <c r="A63" s="29"/>
      <c r="B63" s="102"/>
      <c r="C63" s="102"/>
      <c r="D63" s="103"/>
      <c r="E63" s="102"/>
      <c r="F63" s="103"/>
      <c r="G63" s="102"/>
      <c r="H63" s="103"/>
      <c r="I63" s="102"/>
      <c r="J63" s="103"/>
      <c r="K63" s="102"/>
      <c r="L63" s="103"/>
    </row>
    <row r="64" spans="1:12" ht="105" customHeight="1">
      <c r="A64" s="29"/>
      <c r="B64" s="102"/>
      <c r="C64" s="102"/>
      <c r="D64" s="103"/>
      <c r="E64" s="102"/>
      <c r="F64" s="103"/>
      <c r="G64" s="102"/>
      <c r="H64" s="103"/>
      <c r="I64" s="102"/>
      <c r="J64" s="103"/>
      <c r="K64" s="102"/>
      <c r="L64" s="103"/>
    </row>
    <row r="65" spans="1:12" ht="105" customHeight="1">
      <c r="A65" s="29"/>
      <c r="B65" s="102"/>
      <c r="C65" s="102"/>
      <c r="D65" s="103"/>
      <c r="E65" s="102"/>
      <c r="F65" s="103"/>
      <c r="G65" s="102"/>
      <c r="H65" s="103"/>
      <c r="I65" s="102"/>
      <c r="J65" s="103"/>
      <c r="K65" s="102"/>
      <c r="L65" s="103"/>
    </row>
    <row r="66" spans="1:12" ht="105" customHeight="1">
      <c r="A66" s="29"/>
      <c r="B66" s="102"/>
      <c r="C66" s="102"/>
      <c r="D66" s="103"/>
      <c r="E66" s="102"/>
      <c r="F66" s="103"/>
      <c r="G66" s="102"/>
      <c r="H66" s="103"/>
      <c r="I66" s="102"/>
      <c r="J66" s="103"/>
      <c r="K66" s="102"/>
      <c r="L66" s="103"/>
    </row>
    <row r="67" spans="1:12" ht="105" customHeight="1">
      <c r="A67" s="29"/>
      <c r="B67" s="102"/>
      <c r="C67" s="102"/>
      <c r="D67" s="103"/>
      <c r="E67" s="102"/>
      <c r="F67" s="103"/>
      <c r="G67" s="102"/>
      <c r="H67" s="103"/>
      <c r="I67" s="102"/>
      <c r="J67" s="103"/>
      <c r="K67" s="102"/>
      <c r="L67" s="103"/>
    </row>
    <row r="68" spans="1:12" ht="105" customHeight="1">
      <c r="A68" s="29"/>
      <c r="B68" s="102"/>
      <c r="C68" s="102"/>
      <c r="D68" s="103"/>
      <c r="E68" s="102"/>
      <c r="F68" s="103"/>
      <c r="G68" s="102"/>
      <c r="H68" s="103"/>
      <c r="I68" s="102"/>
      <c r="J68" s="103"/>
      <c r="K68" s="102"/>
      <c r="L68" s="103"/>
    </row>
    <row r="69" spans="1:12" ht="105" customHeight="1">
      <c r="A69" s="29"/>
      <c r="B69" s="102"/>
      <c r="C69" s="102"/>
      <c r="D69" s="103"/>
      <c r="E69" s="102"/>
      <c r="F69" s="103"/>
      <c r="G69" s="102"/>
      <c r="H69" s="103"/>
      <c r="I69" s="102"/>
      <c r="J69" s="103"/>
      <c r="K69" s="102"/>
      <c r="L69" s="103"/>
    </row>
    <row r="70" spans="1:12" ht="105" customHeight="1">
      <c r="A70" s="29"/>
      <c r="B70" s="102"/>
      <c r="C70" s="102"/>
      <c r="D70" s="103"/>
      <c r="E70" s="102"/>
      <c r="F70" s="103"/>
      <c r="G70" s="102"/>
      <c r="H70" s="103"/>
      <c r="I70" s="102"/>
      <c r="J70" s="103"/>
      <c r="K70" s="102"/>
      <c r="L70" s="103"/>
    </row>
    <row r="71" spans="1:12" ht="105" customHeight="1">
      <c r="A71" s="29"/>
      <c r="B71" s="102"/>
      <c r="C71" s="102"/>
      <c r="D71" s="103"/>
      <c r="E71" s="102"/>
      <c r="F71" s="103"/>
      <c r="G71" s="102"/>
      <c r="H71" s="103"/>
      <c r="I71" s="102"/>
      <c r="J71" s="103"/>
      <c r="K71" s="102"/>
      <c r="L71" s="103"/>
    </row>
    <row r="72" spans="1:12" ht="105" customHeight="1">
      <c r="A72" s="29"/>
      <c r="B72" s="102"/>
      <c r="C72" s="102"/>
      <c r="D72" s="103"/>
      <c r="E72" s="102"/>
      <c r="F72" s="103"/>
      <c r="G72" s="102"/>
      <c r="H72" s="103"/>
      <c r="I72" s="102"/>
      <c r="J72" s="103"/>
      <c r="K72" s="102"/>
      <c r="L72" s="103"/>
    </row>
    <row r="73" spans="1:12" ht="105" customHeight="1">
      <c r="A73" s="29"/>
      <c r="B73" s="102"/>
      <c r="C73" s="102"/>
      <c r="D73" s="103"/>
      <c r="E73" s="102"/>
      <c r="F73" s="103"/>
      <c r="G73" s="102"/>
      <c r="H73" s="103"/>
      <c r="I73" s="102"/>
      <c r="J73" s="103"/>
      <c r="K73" s="102"/>
      <c r="L73" s="103"/>
    </row>
    <row r="74" spans="1:12" ht="105" customHeight="1">
      <c r="A74" s="29"/>
      <c r="B74" s="102"/>
      <c r="C74" s="102"/>
      <c r="D74" s="103"/>
      <c r="E74" s="102"/>
      <c r="F74" s="103"/>
      <c r="G74" s="102"/>
      <c r="H74" s="103"/>
      <c r="I74" s="102"/>
      <c r="J74" s="103"/>
      <c r="K74" s="102"/>
      <c r="L74" s="103"/>
    </row>
    <row r="75" spans="1:12" ht="105" customHeight="1">
      <c r="A75" s="29"/>
      <c r="B75" s="102"/>
      <c r="C75" s="102"/>
      <c r="D75" s="103"/>
      <c r="E75" s="102"/>
      <c r="F75" s="103"/>
      <c r="G75" s="102"/>
      <c r="H75" s="103"/>
      <c r="I75" s="102"/>
      <c r="J75" s="103"/>
      <c r="K75" s="102"/>
      <c r="L75" s="103"/>
    </row>
    <row r="76" spans="1:12" ht="105" customHeight="1">
      <c r="A76" s="29"/>
      <c r="B76" s="102"/>
      <c r="C76" s="102"/>
      <c r="D76" s="103"/>
      <c r="E76" s="102"/>
      <c r="F76" s="103"/>
      <c r="G76" s="102"/>
      <c r="H76" s="103"/>
      <c r="I76" s="102"/>
      <c r="J76" s="103"/>
      <c r="K76" s="102"/>
      <c r="L76" s="103"/>
    </row>
    <row r="77" spans="1:12" ht="105" customHeight="1">
      <c r="A77" s="29"/>
      <c r="B77" s="102"/>
      <c r="C77" s="102"/>
      <c r="D77" s="103"/>
      <c r="E77" s="102"/>
      <c r="F77" s="103"/>
      <c r="G77" s="102"/>
      <c r="H77" s="103"/>
      <c r="I77" s="102"/>
      <c r="J77" s="103"/>
      <c r="K77" s="102"/>
      <c r="L77" s="103"/>
    </row>
    <row r="78" spans="1:12" ht="105" customHeight="1">
      <c r="A78" s="29"/>
      <c r="B78" s="102"/>
      <c r="C78" s="102"/>
      <c r="D78" s="103"/>
      <c r="E78" s="102"/>
      <c r="F78" s="103"/>
      <c r="G78" s="102"/>
      <c r="H78" s="103"/>
      <c r="I78" s="102"/>
      <c r="J78" s="103"/>
      <c r="K78" s="102"/>
      <c r="L78" s="103"/>
    </row>
    <row r="79" spans="1:12" ht="105" customHeight="1">
      <c r="A79" s="29"/>
      <c r="B79" s="102"/>
      <c r="C79" s="102"/>
      <c r="D79" s="103"/>
      <c r="E79" s="102"/>
      <c r="F79" s="103"/>
      <c r="G79" s="102"/>
      <c r="H79" s="103"/>
      <c r="I79" s="102"/>
      <c r="J79" s="103"/>
      <c r="K79" s="102"/>
      <c r="L79" s="103"/>
    </row>
    <row r="80" spans="1:12" ht="105" customHeight="1">
      <c r="A80" s="29"/>
      <c r="B80" s="102"/>
      <c r="C80" s="102"/>
      <c r="D80" s="103"/>
      <c r="E80" s="102"/>
      <c r="F80" s="103"/>
      <c r="G80" s="102"/>
      <c r="H80" s="103"/>
      <c r="I80" s="102"/>
      <c r="J80" s="103"/>
      <c r="K80" s="102"/>
      <c r="L80" s="103"/>
    </row>
    <row r="81" spans="1:12" ht="105" customHeight="1">
      <c r="A81" s="29"/>
      <c r="B81" s="102"/>
      <c r="C81" s="102"/>
      <c r="D81" s="103"/>
      <c r="E81" s="102"/>
      <c r="F81" s="103"/>
      <c r="G81" s="102"/>
      <c r="H81" s="103"/>
      <c r="I81" s="102"/>
      <c r="J81" s="103"/>
      <c r="K81" s="102"/>
      <c r="L81" s="103"/>
    </row>
    <row r="82" spans="1:12" ht="105" customHeight="1">
      <c r="A82" s="29"/>
      <c r="B82" s="102"/>
      <c r="C82" s="102"/>
      <c r="D82" s="103"/>
      <c r="E82" s="102"/>
      <c r="F82" s="103"/>
      <c r="G82" s="102"/>
      <c r="H82" s="103"/>
      <c r="I82" s="102"/>
      <c r="J82" s="103"/>
      <c r="K82" s="102"/>
      <c r="L82" s="103"/>
    </row>
    <row r="83" spans="1:12" ht="105" customHeight="1">
      <c r="A83" s="29"/>
      <c r="B83" s="102"/>
      <c r="C83" s="102"/>
      <c r="D83" s="103"/>
      <c r="E83" s="102"/>
      <c r="F83" s="103"/>
      <c r="G83" s="102"/>
      <c r="H83" s="103"/>
      <c r="I83" s="102"/>
      <c r="J83" s="103"/>
      <c r="K83" s="102"/>
      <c r="L83" s="103"/>
    </row>
    <row r="84" spans="1:12" ht="105" customHeight="1">
      <c r="A84" s="29"/>
      <c r="B84" s="102"/>
      <c r="C84" s="102"/>
      <c r="D84" s="103"/>
      <c r="E84" s="102"/>
      <c r="F84" s="103"/>
      <c r="G84" s="102"/>
      <c r="H84" s="103"/>
      <c r="I84" s="102"/>
      <c r="J84" s="103"/>
      <c r="K84" s="102"/>
      <c r="L84" s="103"/>
    </row>
    <row r="85" spans="1:12" ht="105" customHeight="1">
      <c r="A85" s="29"/>
      <c r="B85" s="102"/>
      <c r="C85" s="102"/>
      <c r="D85" s="103"/>
      <c r="E85" s="102"/>
      <c r="F85" s="103"/>
      <c r="G85" s="102"/>
      <c r="H85" s="103"/>
      <c r="I85" s="102"/>
      <c r="J85" s="103"/>
      <c r="K85" s="102"/>
      <c r="L85" s="103"/>
    </row>
    <row r="86" spans="1:12" ht="105" customHeight="1">
      <c r="A86" s="29"/>
      <c r="B86" s="102"/>
      <c r="C86" s="102"/>
      <c r="D86" s="103"/>
      <c r="E86" s="102"/>
      <c r="F86" s="103"/>
      <c r="G86" s="102"/>
      <c r="H86" s="103"/>
      <c r="I86" s="102"/>
      <c r="J86" s="103"/>
      <c r="K86" s="102"/>
      <c r="L86" s="103"/>
    </row>
    <row r="87" spans="1:12" ht="105" customHeight="1">
      <c r="A87" s="29"/>
      <c r="B87" s="102"/>
      <c r="C87" s="102"/>
      <c r="D87" s="103"/>
      <c r="E87" s="102"/>
      <c r="F87" s="103"/>
      <c r="G87" s="102"/>
      <c r="H87" s="103"/>
      <c r="I87" s="102"/>
      <c r="J87" s="103"/>
      <c r="K87" s="102"/>
      <c r="L87" s="103"/>
    </row>
    <row r="88" spans="1:12" ht="105" customHeight="1">
      <c r="A88" s="29"/>
      <c r="B88" s="102"/>
      <c r="C88" s="102"/>
      <c r="D88" s="103"/>
      <c r="E88" s="102"/>
      <c r="F88" s="103"/>
      <c r="G88" s="102"/>
      <c r="H88" s="103"/>
      <c r="I88" s="102"/>
      <c r="J88" s="103"/>
      <c r="K88" s="102"/>
      <c r="L88" s="103"/>
    </row>
    <row r="89" spans="1:12" ht="105" customHeight="1">
      <c r="A89" s="29"/>
      <c r="B89" s="102"/>
      <c r="C89" s="102"/>
      <c r="D89" s="103"/>
      <c r="E89" s="102"/>
      <c r="F89" s="103"/>
      <c r="G89" s="102"/>
      <c r="H89" s="103"/>
      <c r="I89" s="102"/>
      <c r="J89" s="103"/>
      <c r="K89" s="102"/>
      <c r="L89" s="103"/>
    </row>
    <row r="90" spans="1:12" ht="105" customHeight="1">
      <c r="A90" s="29"/>
      <c r="B90" s="102"/>
      <c r="C90" s="102"/>
      <c r="D90" s="103"/>
      <c r="E90" s="102"/>
      <c r="F90" s="103"/>
      <c r="G90" s="102"/>
      <c r="H90" s="103"/>
      <c r="I90" s="102"/>
      <c r="J90" s="103"/>
      <c r="K90" s="102"/>
      <c r="L90" s="103"/>
    </row>
    <row r="91" spans="1:12" ht="105" customHeight="1">
      <c r="A91" s="29"/>
      <c r="B91" s="102"/>
      <c r="C91" s="102"/>
      <c r="D91" s="103"/>
      <c r="E91" s="102"/>
      <c r="F91" s="103"/>
      <c r="G91" s="102"/>
      <c r="H91" s="103"/>
      <c r="I91" s="102"/>
      <c r="J91" s="103"/>
      <c r="K91" s="102"/>
      <c r="L91" s="103"/>
    </row>
    <row r="92" spans="1:12" ht="105" customHeight="1">
      <c r="A92" s="29"/>
      <c r="B92" s="102"/>
      <c r="C92" s="102"/>
      <c r="D92" s="103"/>
      <c r="E92" s="102"/>
      <c r="F92" s="103"/>
      <c r="G92" s="102"/>
      <c r="H92" s="103"/>
      <c r="I92" s="102"/>
      <c r="J92" s="103"/>
      <c r="K92" s="102"/>
      <c r="L92" s="103"/>
    </row>
    <row r="93" spans="1:12" ht="105" customHeight="1">
      <c r="A93" s="29"/>
      <c r="B93" s="102"/>
      <c r="C93" s="102"/>
      <c r="D93" s="103"/>
      <c r="E93" s="102"/>
      <c r="F93" s="103"/>
      <c r="G93" s="102"/>
      <c r="H93" s="103"/>
      <c r="I93" s="102"/>
      <c r="J93" s="103"/>
      <c r="K93" s="102"/>
      <c r="L93" s="103"/>
    </row>
    <row r="94" spans="1:12" ht="105" customHeight="1">
      <c r="A94" s="29"/>
      <c r="B94" s="102"/>
      <c r="C94" s="102"/>
      <c r="D94" s="103"/>
      <c r="E94" s="102"/>
      <c r="F94" s="103"/>
      <c r="G94" s="102"/>
      <c r="H94" s="103"/>
      <c r="I94" s="102"/>
      <c r="J94" s="103"/>
      <c r="K94" s="102"/>
      <c r="L94" s="103"/>
    </row>
    <row r="95" spans="1:12" ht="105" customHeight="1">
      <c r="A95" s="29"/>
      <c r="B95" s="102"/>
      <c r="C95" s="102"/>
      <c r="D95" s="103"/>
      <c r="E95" s="102"/>
      <c r="F95" s="103"/>
      <c r="G95" s="102"/>
      <c r="H95" s="103"/>
      <c r="I95" s="102"/>
      <c r="J95" s="103"/>
      <c r="K95" s="102"/>
      <c r="L95" s="103"/>
    </row>
    <row r="96" spans="1:12" ht="105" customHeight="1">
      <c r="A96" s="29"/>
      <c r="B96" s="102"/>
      <c r="C96" s="102"/>
      <c r="D96" s="103"/>
      <c r="E96" s="102"/>
      <c r="F96" s="103"/>
      <c r="G96" s="102"/>
      <c r="H96" s="103"/>
      <c r="I96" s="102"/>
      <c r="J96" s="103"/>
      <c r="K96" s="102"/>
      <c r="L96" s="103"/>
    </row>
    <row r="97" spans="1:12" ht="105" customHeight="1">
      <c r="A97" s="29"/>
      <c r="B97" s="102"/>
      <c r="C97" s="102"/>
      <c r="D97" s="103"/>
      <c r="E97" s="102"/>
      <c r="F97" s="103"/>
      <c r="G97" s="102"/>
      <c r="H97" s="103"/>
      <c r="I97" s="102"/>
      <c r="J97" s="103"/>
      <c r="K97" s="102"/>
      <c r="L97" s="103"/>
    </row>
    <row r="98" spans="1:12" ht="105" customHeight="1">
      <c r="A98" s="29"/>
      <c r="B98" s="102"/>
      <c r="C98" s="102"/>
      <c r="D98" s="103"/>
      <c r="E98" s="102"/>
      <c r="F98" s="103"/>
      <c r="G98" s="102"/>
      <c r="H98" s="103"/>
      <c r="I98" s="102"/>
      <c r="J98" s="103"/>
      <c r="K98" s="102"/>
      <c r="L98" s="103"/>
    </row>
    <row r="99" spans="1:12" ht="105" customHeight="1">
      <c r="A99" s="29"/>
      <c r="B99" s="102"/>
      <c r="C99" s="102"/>
      <c r="D99" s="103"/>
      <c r="E99" s="102"/>
      <c r="F99" s="103"/>
      <c r="G99" s="102"/>
      <c r="H99" s="103"/>
      <c r="I99" s="102"/>
      <c r="J99" s="103"/>
      <c r="K99" s="102"/>
      <c r="L99" s="103"/>
    </row>
    <row r="100" spans="1:12" ht="105" customHeight="1">
      <c r="A100" s="29"/>
      <c r="B100" s="102"/>
      <c r="C100" s="102"/>
      <c r="D100" s="103"/>
      <c r="E100" s="102"/>
      <c r="F100" s="103"/>
      <c r="G100" s="102"/>
      <c r="H100" s="103"/>
      <c r="I100" s="102"/>
      <c r="J100" s="103"/>
      <c r="K100" s="102"/>
      <c r="L100" s="103"/>
    </row>
    <row r="101" spans="1:12">
      <c r="A101" s="29"/>
      <c r="B101" s="102"/>
      <c r="C101" s="102"/>
      <c r="D101" s="103"/>
      <c r="E101" s="102"/>
      <c r="F101" s="103"/>
      <c r="G101" s="102"/>
      <c r="H101" s="103"/>
      <c r="I101" s="102"/>
      <c r="J101" s="103"/>
      <c r="K101" s="102"/>
      <c r="L101" s="103"/>
    </row>
    <row r="102" spans="1:12">
      <c r="A102" s="29"/>
      <c r="B102" s="102"/>
      <c r="C102" s="102"/>
      <c r="D102" s="103"/>
      <c r="E102" s="102"/>
      <c r="F102" s="103"/>
      <c r="G102" s="102"/>
      <c r="H102" s="103"/>
      <c r="I102" s="102"/>
      <c r="J102" s="103"/>
      <c r="K102" s="102"/>
      <c r="L102" s="103"/>
    </row>
    <row r="103" spans="1:12">
      <c r="A103" s="29"/>
      <c r="B103" s="102"/>
      <c r="C103" s="102"/>
      <c r="D103" s="103"/>
      <c r="E103" s="102"/>
      <c r="F103" s="103"/>
      <c r="G103" s="102"/>
      <c r="H103" s="103"/>
      <c r="I103" s="102"/>
      <c r="J103" s="103"/>
      <c r="K103" s="102"/>
      <c r="L103" s="103"/>
    </row>
    <row r="104" spans="1:12">
      <c r="A104" s="29"/>
      <c r="B104" s="102"/>
      <c r="C104" s="102"/>
      <c r="D104" s="103"/>
      <c r="E104" s="102"/>
      <c r="F104" s="103"/>
      <c r="G104" s="102"/>
      <c r="H104" s="103"/>
      <c r="I104" s="102"/>
      <c r="J104" s="103"/>
      <c r="K104" s="102"/>
      <c r="L104" s="103"/>
    </row>
    <row r="105" spans="1:12">
      <c r="A105" s="29"/>
      <c r="B105" s="102"/>
      <c r="C105" s="102"/>
      <c r="D105" s="103"/>
      <c r="E105" s="102"/>
      <c r="F105" s="103"/>
      <c r="G105" s="102"/>
      <c r="H105" s="103"/>
      <c r="I105" s="102"/>
      <c r="J105" s="103"/>
      <c r="K105" s="102"/>
      <c r="L105" s="103"/>
    </row>
    <row r="106" spans="1:12">
      <c r="A106" s="29"/>
      <c r="B106" s="102"/>
      <c r="C106" s="102"/>
      <c r="D106" s="103"/>
      <c r="E106" s="102"/>
      <c r="F106" s="103"/>
      <c r="G106" s="102"/>
      <c r="H106" s="103"/>
      <c r="I106" s="102"/>
      <c r="J106" s="103"/>
      <c r="K106" s="102"/>
      <c r="L106" s="103"/>
    </row>
    <row r="107" spans="1:12">
      <c r="A107" s="29"/>
      <c r="B107" s="102"/>
      <c r="C107" s="102"/>
      <c r="D107" s="103"/>
      <c r="E107" s="102"/>
      <c r="F107" s="103"/>
      <c r="G107" s="102"/>
      <c r="H107" s="103"/>
      <c r="I107" s="102"/>
      <c r="J107" s="103"/>
      <c r="K107" s="102"/>
      <c r="L107" s="103"/>
    </row>
    <row r="108" spans="1:12">
      <c r="A108" s="29"/>
      <c r="B108" s="102"/>
      <c r="C108" s="102"/>
      <c r="D108" s="103"/>
      <c r="E108" s="102"/>
      <c r="F108" s="103"/>
      <c r="G108" s="102"/>
      <c r="H108" s="103"/>
      <c r="I108" s="102"/>
      <c r="J108" s="103"/>
      <c r="K108" s="102"/>
      <c r="L108" s="103"/>
    </row>
    <row r="109" spans="1:12">
      <c r="A109" s="29"/>
      <c r="B109" s="102"/>
      <c r="C109" s="102"/>
      <c r="D109" s="103"/>
      <c r="E109" s="102"/>
      <c r="F109" s="103"/>
      <c r="G109" s="102"/>
      <c r="H109" s="103"/>
      <c r="I109" s="102"/>
      <c r="J109" s="103"/>
      <c r="K109" s="102"/>
      <c r="L109" s="103"/>
    </row>
    <row r="110" spans="1:12">
      <c r="A110" s="29"/>
      <c r="B110" s="102"/>
      <c r="C110" s="102"/>
      <c r="D110" s="103"/>
      <c r="E110" s="102"/>
      <c r="F110" s="103"/>
      <c r="G110" s="102"/>
      <c r="H110" s="103"/>
      <c r="I110" s="102"/>
      <c r="J110" s="103"/>
      <c r="K110" s="102"/>
      <c r="L110" s="103"/>
    </row>
    <row r="111" spans="1:12">
      <c r="A111" s="29"/>
      <c r="B111" s="102"/>
      <c r="C111" s="102"/>
      <c r="D111" s="103"/>
      <c r="E111" s="102"/>
      <c r="F111" s="103"/>
      <c r="G111" s="102"/>
      <c r="H111" s="103"/>
      <c r="I111" s="102"/>
      <c r="J111" s="103"/>
      <c r="K111" s="102"/>
      <c r="L111" s="103"/>
    </row>
    <row r="112" spans="1:12">
      <c r="A112" s="29"/>
      <c r="B112" s="102"/>
      <c r="C112" s="102"/>
      <c r="D112" s="103"/>
      <c r="E112" s="102"/>
      <c r="F112" s="103"/>
      <c r="G112" s="102"/>
      <c r="H112" s="103"/>
      <c r="I112" s="102"/>
      <c r="J112" s="103"/>
      <c r="K112" s="102"/>
      <c r="L112" s="103"/>
    </row>
    <row r="113" spans="1:12">
      <c r="A113" s="29"/>
      <c r="B113" s="102"/>
      <c r="C113" s="102"/>
      <c r="D113" s="103"/>
      <c r="E113" s="102"/>
      <c r="F113" s="103"/>
      <c r="G113" s="102"/>
      <c r="H113" s="103"/>
      <c r="I113" s="102"/>
      <c r="J113" s="103"/>
      <c r="K113" s="102"/>
      <c r="L113" s="103"/>
    </row>
    <row r="114" spans="1:12">
      <c r="A114" s="29"/>
      <c r="B114" s="30"/>
      <c r="C114" s="30"/>
      <c r="D114" s="103"/>
      <c r="E114" s="30"/>
      <c r="F114" s="103"/>
      <c r="G114" s="30"/>
      <c r="H114" s="103"/>
      <c r="I114" s="30"/>
      <c r="J114" s="103"/>
      <c r="K114" s="30"/>
      <c r="L114" s="103"/>
    </row>
    <row r="115" spans="1:12">
      <c r="A115" s="29"/>
      <c r="B115" s="30"/>
      <c r="C115" s="30"/>
      <c r="D115" s="103"/>
      <c r="E115" s="30"/>
      <c r="F115" s="103"/>
      <c r="G115" s="30"/>
      <c r="H115" s="103"/>
      <c r="I115" s="30"/>
      <c r="J115" s="103"/>
      <c r="K115" s="30"/>
      <c r="L115" s="103"/>
    </row>
    <row r="116" spans="1:12">
      <c r="A116" s="29"/>
      <c r="B116" s="30"/>
      <c r="C116" s="30"/>
      <c r="D116" s="103"/>
      <c r="E116" s="30"/>
      <c r="F116" s="103"/>
      <c r="G116" s="30"/>
      <c r="H116" s="103"/>
      <c r="I116" s="30"/>
      <c r="J116" s="103"/>
      <c r="K116" s="30"/>
      <c r="L116" s="103"/>
    </row>
    <row r="117" spans="1:12">
      <c r="A117" s="29"/>
      <c r="B117" s="30"/>
      <c r="C117" s="30"/>
      <c r="D117" s="103"/>
      <c r="E117" s="30"/>
      <c r="F117" s="103"/>
      <c r="G117" s="30"/>
      <c r="H117" s="103"/>
      <c r="I117" s="30"/>
      <c r="J117" s="103"/>
      <c r="K117" s="30"/>
      <c r="L117" s="103"/>
    </row>
    <row r="118" spans="1:12">
      <c r="A118" s="29"/>
      <c r="B118" s="30"/>
      <c r="C118" s="30"/>
      <c r="D118" s="103"/>
      <c r="E118" s="30"/>
      <c r="F118" s="103"/>
      <c r="G118" s="30"/>
      <c r="H118" s="103"/>
      <c r="I118" s="30"/>
      <c r="J118" s="103"/>
      <c r="K118" s="30"/>
      <c r="L118" s="103"/>
    </row>
    <row r="119" spans="1:12">
      <c r="A119" s="29"/>
      <c r="B119" s="30"/>
      <c r="C119" s="30"/>
      <c r="D119" s="103"/>
      <c r="E119" s="30"/>
      <c r="F119" s="103"/>
      <c r="G119" s="30"/>
      <c r="H119" s="103"/>
      <c r="I119" s="30"/>
      <c r="J119" s="103"/>
      <c r="K119" s="30"/>
      <c r="L119" s="103"/>
    </row>
    <row r="120" spans="1:12">
      <c r="A120" s="29"/>
      <c r="B120" s="30"/>
      <c r="C120" s="30"/>
      <c r="D120" s="103"/>
      <c r="E120" s="30"/>
      <c r="F120" s="103"/>
      <c r="G120" s="30"/>
      <c r="H120" s="103"/>
      <c r="I120" s="30"/>
      <c r="J120" s="103"/>
      <c r="K120" s="30"/>
      <c r="L120" s="103"/>
    </row>
    <row r="121" spans="1:12">
      <c r="A121" s="29"/>
      <c r="B121" s="30"/>
      <c r="C121" s="30"/>
      <c r="D121" s="103"/>
      <c r="E121" s="30"/>
      <c r="F121" s="103"/>
      <c r="G121" s="30"/>
      <c r="H121" s="103"/>
      <c r="I121" s="30"/>
      <c r="J121" s="103"/>
      <c r="K121" s="30"/>
      <c r="L121" s="103"/>
    </row>
    <row r="122" spans="1:12">
      <c r="A122" s="29"/>
      <c r="B122" s="30"/>
      <c r="C122" s="30"/>
      <c r="D122" s="103"/>
      <c r="E122" s="30"/>
      <c r="F122" s="103"/>
      <c r="G122" s="30"/>
      <c r="H122" s="103"/>
      <c r="I122" s="30"/>
      <c r="J122" s="103"/>
      <c r="K122" s="30"/>
      <c r="L122" s="103"/>
    </row>
    <row r="123" spans="1:12">
      <c r="A123" s="29"/>
      <c r="B123" s="30"/>
      <c r="C123" s="30"/>
      <c r="D123" s="103"/>
      <c r="E123" s="30"/>
      <c r="F123" s="103"/>
      <c r="G123" s="30"/>
      <c r="H123" s="103"/>
      <c r="I123" s="30"/>
      <c r="J123" s="103"/>
      <c r="K123" s="30"/>
      <c r="L123" s="103"/>
    </row>
    <row r="124" spans="1:12">
      <c r="A124" s="29"/>
      <c r="B124" s="30"/>
      <c r="C124" s="30"/>
      <c r="D124" s="103"/>
      <c r="E124" s="30"/>
      <c r="F124" s="103"/>
      <c r="G124" s="30"/>
      <c r="H124" s="103"/>
      <c r="I124" s="30"/>
      <c r="J124" s="103"/>
      <c r="K124" s="30"/>
      <c r="L124" s="103"/>
    </row>
    <row r="125" spans="1:12">
      <c r="A125" s="29"/>
      <c r="B125" s="30"/>
      <c r="C125" s="30"/>
      <c r="D125" s="103"/>
      <c r="E125" s="30"/>
      <c r="F125" s="103"/>
      <c r="G125" s="30"/>
      <c r="H125" s="103"/>
      <c r="I125" s="30"/>
      <c r="J125" s="103"/>
      <c r="K125" s="30"/>
      <c r="L125" s="103"/>
    </row>
    <row r="126" spans="1:12">
      <c r="A126" s="29"/>
      <c r="B126" s="30"/>
      <c r="C126" s="30"/>
      <c r="D126" s="103"/>
      <c r="E126" s="30"/>
      <c r="F126" s="103"/>
      <c r="G126" s="30"/>
      <c r="H126" s="103"/>
      <c r="I126" s="30"/>
      <c r="J126" s="103"/>
      <c r="K126" s="30"/>
      <c r="L126" s="103"/>
    </row>
    <row r="127" spans="1:12">
      <c r="A127" s="29"/>
      <c r="B127" s="30"/>
      <c r="C127" s="30"/>
      <c r="D127" s="103"/>
      <c r="E127" s="30"/>
      <c r="F127" s="103"/>
      <c r="G127" s="30"/>
      <c r="H127" s="103"/>
      <c r="I127" s="30"/>
      <c r="J127" s="103"/>
      <c r="K127" s="30"/>
      <c r="L127" s="103"/>
    </row>
    <row r="128" spans="1:12">
      <c r="A128" s="29"/>
      <c r="B128" s="30"/>
      <c r="C128" s="30"/>
      <c r="D128" s="103"/>
      <c r="E128" s="30"/>
      <c r="F128" s="103"/>
      <c r="G128" s="30"/>
      <c r="H128" s="103"/>
      <c r="I128" s="30"/>
      <c r="J128" s="103"/>
      <c r="K128" s="30"/>
      <c r="L128" s="103"/>
    </row>
    <row r="129" spans="1:12">
      <c r="A129" s="29"/>
      <c r="B129" s="30"/>
      <c r="C129" s="30"/>
      <c r="D129" s="103"/>
      <c r="E129" s="30"/>
      <c r="F129" s="103"/>
      <c r="G129" s="30"/>
      <c r="H129" s="103"/>
      <c r="I129" s="30"/>
      <c r="J129" s="103"/>
      <c r="K129" s="30"/>
      <c r="L129" s="103"/>
    </row>
    <row r="130" spans="1:12">
      <c r="A130" s="29"/>
      <c r="B130" s="30"/>
      <c r="C130" s="30"/>
      <c r="D130" s="103"/>
      <c r="E130" s="30"/>
      <c r="F130" s="103"/>
      <c r="G130" s="30"/>
      <c r="H130" s="103"/>
      <c r="I130" s="30"/>
      <c r="J130" s="103"/>
      <c r="K130" s="30"/>
      <c r="L130" s="103"/>
    </row>
    <row r="131" spans="1:12">
      <c r="A131" s="29"/>
      <c r="B131" s="30"/>
      <c r="C131" s="30"/>
      <c r="D131" s="103"/>
      <c r="E131" s="30"/>
      <c r="F131" s="103"/>
      <c r="G131" s="30"/>
      <c r="H131" s="103"/>
      <c r="I131" s="30"/>
      <c r="J131" s="103"/>
      <c r="K131" s="30"/>
      <c r="L131" s="103"/>
    </row>
    <row r="132" spans="1:12">
      <c r="A132" s="29"/>
      <c r="B132" s="30"/>
      <c r="C132" s="30"/>
      <c r="D132" s="103"/>
      <c r="E132" s="30"/>
      <c r="F132" s="103"/>
      <c r="G132" s="30"/>
      <c r="H132" s="103"/>
      <c r="I132" s="30"/>
      <c r="J132" s="103"/>
      <c r="K132" s="30"/>
      <c r="L132" s="103"/>
    </row>
    <row r="133" spans="1:12">
      <c r="A133" s="29"/>
      <c r="B133" s="30"/>
      <c r="C133" s="30"/>
      <c r="D133" s="103"/>
      <c r="E133" s="30"/>
      <c r="F133" s="103"/>
      <c r="G133" s="30"/>
      <c r="H133" s="103"/>
      <c r="I133" s="30"/>
      <c r="J133" s="103"/>
      <c r="K133" s="30"/>
      <c r="L133" s="103"/>
    </row>
    <row r="134" spans="1:12">
      <c r="A134" s="29"/>
      <c r="B134" s="30"/>
      <c r="C134" s="30"/>
      <c r="D134" s="103"/>
      <c r="E134" s="30"/>
      <c r="F134" s="103"/>
      <c r="G134" s="30"/>
      <c r="H134" s="103"/>
      <c r="I134" s="30"/>
      <c r="J134" s="103"/>
      <c r="K134" s="30"/>
      <c r="L134" s="103"/>
    </row>
    <row r="135" spans="1:12">
      <c r="A135" s="29"/>
      <c r="B135" s="30"/>
      <c r="C135" s="30"/>
      <c r="D135" s="103"/>
      <c r="E135" s="30"/>
      <c r="F135" s="103"/>
      <c r="G135" s="30"/>
      <c r="H135" s="103"/>
      <c r="I135" s="30"/>
      <c r="J135" s="103"/>
      <c r="K135" s="30"/>
      <c r="L135" s="103"/>
    </row>
    <row r="136" spans="1:12">
      <c r="A136" s="29"/>
      <c r="B136" s="30"/>
      <c r="C136" s="30"/>
      <c r="D136" s="103"/>
      <c r="E136" s="30"/>
      <c r="F136" s="103"/>
      <c r="G136" s="30"/>
      <c r="H136" s="103"/>
      <c r="I136" s="30"/>
      <c r="J136" s="103"/>
      <c r="K136" s="30"/>
      <c r="L136" s="103"/>
    </row>
    <row r="137" spans="1:12">
      <c r="A137" s="29"/>
      <c r="B137" s="30"/>
      <c r="C137" s="30"/>
      <c r="D137" s="103"/>
      <c r="E137" s="30"/>
      <c r="F137" s="103"/>
      <c r="G137" s="30"/>
      <c r="H137" s="103"/>
      <c r="I137" s="30"/>
      <c r="J137" s="103"/>
      <c r="K137" s="30"/>
      <c r="L137" s="103"/>
    </row>
    <row r="138" spans="1:12">
      <c r="A138" s="29"/>
      <c r="B138" s="30"/>
      <c r="C138" s="30"/>
      <c r="D138" s="103"/>
      <c r="E138" s="30"/>
      <c r="F138" s="103"/>
      <c r="G138" s="30"/>
      <c r="H138" s="103"/>
      <c r="I138" s="30"/>
      <c r="J138" s="103"/>
      <c r="K138" s="30"/>
      <c r="L138" s="103"/>
    </row>
    <row r="139" spans="1:12">
      <c r="A139" s="29"/>
      <c r="B139" s="30"/>
      <c r="C139" s="30"/>
      <c r="D139" s="103"/>
      <c r="E139" s="30"/>
      <c r="F139" s="103"/>
      <c r="G139" s="30"/>
      <c r="H139" s="103"/>
      <c r="I139" s="30"/>
      <c r="J139" s="103"/>
      <c r="K139" s="30"/>
      <c r="L139" s="103"/>
    </row>
    <row r="140" spans="1:12">
      <c r="A140" s="29"/>
      <c r="B140" s="30"/>
      <c r="C140" s="30"/>
      <c r="D140" s="103"/>
      <c r="E140" s="30"/>
      <c r="F140" s="103"/>
      <c r="G140" s="30"/>
      <c r="H140" s="103"/>
      <c r="I140" s="30"/>
      <c r="J140" s="103"/>
      <c r="K140" s="30"/>
      <c r="L140" s="103"/>
    </row>
    <row r="141" spans="1:12">
      <c r="A141" s="29"/>
      <c r="B141" s="30"/>
      <c r="C141" s="30"/>
      <c r="D141" s="103"/>
      <c r="E141" s="30"/>
      <c r="F141" s="103"/>
      <c r="G141" s="30"/>
      <c r="H141" s="103"/>
      <c r="I141" s="30"/>
      <c r="J141" s="103"/>
      <c r="K141" s="30"/>
      <c r="L141" s="103"/>
    </row>
    <row r="142" spans="1:12">
      <c r="A142" s="29"/>
      <c r="B142" s="30"/>
      <c r="C142" s="30"/>
      <c r="D142" s="103"/>
      <c r="E142" s="30"/>
      <c r="F142" s="103"/>
      <c r="G142" s="30"/>
      <c r="H142" s="103"/>
      <c r="I142" s="30"/>
      <c r="J142" s="103"/>
      <c r="K142" s="30"/>
      <c r="L142" s="103"/>
    </row>
    <row r="143" spans="1:12">
      <c r="A143" s="29"/>
      <c r="B143" s="30"/>
      <c r="C143" s="30"/>
      <c r="D143" s="103"/>
      <c r="E143" s="30"/>
      <c r="F143" s="103"/>
      <c r="G143" s="30"/>
      <c r="H143" s="103"/>
      <c r="I143" s="30"/>
      <c r="J143" s="103"/>
      <c r="K143" s="30"/>
      <c r="L143" s="103"/>
    </row>
    <row r="144" spans="1:12">
      <c r="A144" s="29"/>
      <c r="B144" s="30"/>
      <c r="C144" s="30"/>
      <c r="D144" s="103"/>
      <c r="E144" s="30"/>
      <c r="F144" s="103"/>
      <c r="G144" s="30"/>
      <c r="H144" s="103"/>
      <c r="I144" s="30"/>
      <c r="J144" s="103"/>
      <c r="K144" s="30"/>
      <c r="L144" s="103"/>
    </row>
    <row r="145" spans="1:12">
      <c r="A145" s="29"/>
      <c r="B145" s="30"/>
      <c r="C145" s="30"/>
      <c r="D145" s="103"/>
      <c r="E145" s="30"/>
      <c r="F145" s="103"/>
      <c r="G145" s="30"/>
      <c r="H145" s="103"/>
      <c r="I145" s="30"/>
      <c r="J145" s="103"/>
      <c r="K145" s="30"/>
      <c r="L145" s="103"/>
    </row>
    <row r="146" spans="1:12">
      <c r="A146" s="29"/>
      <c r="B146" s="30"/>
      <c r="C146" s="30"/>
      <c r="D146" s="103"/>
      <c r="E146" s="30"/>
      <c r="F146" s="103"/>
      <c r="G146" s="30"/>
      <c r="H146" s="103"/>
      <c r="I146" s="30"/>
      <c r="J146" s="103"/>
      <c r="K146" s="30"/>
      <c r="L146" s="103"/>
    </row>
    <row r="147" spans="1:12">
      <c r="A147" s="29"/>
      <c r="B147" s="30"/>
      <c r="C147" s="30"/>
      <c r="D147" s="103"/>
      <c r="E147" s="30"/>
      <c r="F147" s="103"/>
      <c r="G147" s="30"/>
      <c r="H147" s="103"/>
      <c r="I147" s="30"/>
      <c r="J147" s="103"/>
      <c r="K147" s="30"/>
      <c r="L147" s="103"/>
    </row>
    <row r="148" spans="1:12">
      <c r="A148" s="29"/>
      <c r="B148" s="30"/>
      <c r="C148" s="30"/>
      <c r="D148" s="103"/>
      <c r="E148" s="30"/>
      <c r="F148" s="103"/>
      <c r="G148" s="30"/>
      <c r="H148" s="103"/>
      <c r="I148" s="30"/>
      <c r="J148" s="103"/>
      <c r="K148" s="30"/>
      <c r="L148" s="103"/>
    </row>
    <row r="149" spans="1:12">
      <c r="A149" s="29"/>
      <c r="B149" s="30"/>
      <c r="C149" s="30"/>
      <c r="D149" s="103"/>
      <c r="E149" s="30"/>
      <c r="F149" s="103"/>
      <c r="G149" s="30"/>
      <c r="H149" s="103"/>
      <c r="I149" s="30"/>
      <c r="J149" s="103"/>
      <c r="K149" s="30"/>
      <c r="L149" s="103"/>
    </row>
    <row r="150" spans="1:12">
      <c r="A150" s="29"/>
      <c r="B150" s="30"/>
      <c r="C150" s="30"/>
      <c r="D150" s="103"/>
      <c r="E150" s="30"/>
      <c r="F150" s="103"/>
      <c r="G150" s="30"/>
      <c r="H150" s="103"/>
      <c r="I150" s="30"/>
      <c r="J150" s="103"/>
      <c r="K150" s="30"/>
      <c r="L150" s="103"/>
    </row>
    <row r="151" spans="1:12">
      <c r="A151" s="29"/>
      <c r="B151" s="30"/>
      <c r="C151" s="30"/>
      <c r="D151" s="103"/>
      <c r="E151" s="30"/>
      <c r="F151" s="103"/>
      <c r="G151" s="30"/>
      <c r="H151" s="103"/>
      <c r="I151" s="30"/>
      <c r="J151" s="103"/>
      <c r="K151" s="30"/>
      <c r="L151" s="103"/>
    </row>
    <row r="152" spans="1:12">
      <c r="A152" s="29"/>
      <c r="B152" s="30"/>
      <c r="C152" s="30"/>
      <c r="D152" s="103"/>
      <c r="E152" s="30"/>
      <c r="F152" s="103"/>
      <c r="G152" s="30"/>
      <c r="H152" s="103"/>
      <c r="I152" s="30"/>
      <c r="J152" s="103"/>
      <c r="K152" s="30"/>
      <c r="L152" s="103"/>
    </row>
    <row r="153" spans="1:12">
      <c r="A153" s="29"/>
      <c r="B153" s="30"/>
      <c r="C153" s="30"/>
      <c r="D153" s="103"/>
      <c r="E153" s="30"/>
      <c r="F153" s="103"/>
      <c r="G153" s="30"/>
      <c r="H153" s="103"/>
      <c r="I153" s="30"/>
      <c r="J153" s="103"/>
      <c r="K153" s="30"/>
      <c r="L153" s="103"/>
    </row>
    <row r="154" spans="1:12">
      <c r="A154" s="29"/>
      <c r="B154" s="30"/>
      <c r="C154" s="30"/>
      <c r="D154" s="103"/>
      <c r="E154" s="30"/>
      <c r="F154" s="103"/>
      <c r="G154" s="30"/>
      <c r="H154" s="103"/>
      <c r="I154" s="30"/>
      <c r="J154" s="103"/>
      <c r="K154" s="30"/>
      <c r="L154" s="103"/>
    </row>
    <row r="155" spans="1:12">
      <c r="A155" s="29"/>
      <c r="B155" s="30"/>
      <c r="C155" s="30"/>
      <c r="D155" s="103"/>
      <c r="E155" s="30"/>
      <c r="F155" s="103"/>
      <c r="G155" s="30"/>
      <c r="H155" s="103"/>
      <c r="I155" s="30"/>
      <c r="J155" s="103"/>
      <c r="K155" s="30"/>
      <c r="L155" s="103"/>
    </row>
    <row r="156" spans="1:12">
      <c r="A156" s="29"/>
      <c r="B156" s="30"/>
      <c r="C156" s="30"/>
      <c r="D156" s="103"/>
      <c r="E156" s="30"/>
      <c r="F156" s="103"/>
      <c r="G156" s="30"/>
      <c r="H156" s="103"/>
      <c r="I156" s="30"/>
      <c r="J156" s="103"/>
      <c r="K156" s="30"/>
      <c r="L156" s="103"/>
    </row>
    <row r="157" spans="1:12">
      <c r="A157" s="29"/>
      <c r="B157" s="30"/>
      <c r="C157" s="30"/>
      <c r="D157" s="103"/>
      <c r="E157" s="30"/>
      <c r="F157" s="103"/>
      <c r="G157" s="30"/>
      <c r="H157" s="103"/>
      <c r="I157" s="30"/>
      <c r="J157" s="103"/>
      <c r="K157" s="30"/>
      <c r="L157" s="103"/>
    </row>
    <row r="158" spans="1:12">
      <c r="A158" s="29"/>
      <c r="B158" s="30"/>
      <c r="C158" s="30"/>
      <c r="D158" s="103"/>
      <c r="E158" s="30"/>
      <c r="F158" s="103"/>
      <c r="G158" s="30"/>
      <c r="H158" s="103"/>
      <c r="I158" s="30"/>
      <c r="J158" s="103"/>
      <c r="K158" s="30"/>
      <c r="L158" s="103"/>
    </row>
    <row r="159" spans="1:12">
      <c r="A159" s="29"/>
      <c r="B159" s="30"/>
      <c r="C159" s="30"/>
      <c r="D159" s="103"/>
      <c r="E159" s="30"/>
      <c r="F159" s="103"/>
      <c r="G159" s="30"/>
      <c r="H159" s="103"/>
      <c r="I159" s="30"/>
      <c r="J159" s="103"/>
      <c r="K159" s="30"/>
      <c r="L159" s="103"/>
    </row>
    <row r="160" spans="1:12">
      <c r="A160" s="29"/>
      <c r="B160" s="30"/>
      <c r="C160" s="30"/>
      <c r="D160" s="103"/>
      <c r="E160" s="30"/>
      <c r="F160" s="103"/>
      <c r="G160" s="30"/>
      <c r="H160" s="103"/>
      <c r="I160" s="30"/>
      <c r="J160" s="103"/>
      <c r="K160" s="30"/>
      <c r="L160" s="103"/>
    </row>
    <row r="161" spans="1:12">
      <c r="A161" s="29"/>
      <c r="B161" s="30"/>
      <c r="C161" s="30"/>
      <c r="D161" s="103"/>
      <c r="E161" s="30"/>
      <c r="F161" s="103"/>
      <c r="G161" s="30"/>
      <c r="H161" s="103"/>
      <c r="I161" s="30"/>
      <c r="J161" s="103"/>
      <c r="K161" s="30"/>
      <c r="L161" s="103"/>
    </row>
    <row r="162" spans="1:12">
      <c r="A162" s="29"/>
      <c r="B162" s="30"/>
      <c r="C162" s="30"/>
      <c r="D162" s="103"/>
      <c r="E162" s="30"/>
      <c r="F162" s="103"/>
      <c r="G162" s="30"/>
      <c r="H162" s="103"/>
      <c r="I162" s="30"/>
      <c r="J162" s="103"/>
      <c r="K162" s="30"/>
      <c r="L162" s="103"/>
    </row>
    <row r="163" spans="1:12">
      <c r="A163" s="29"/>
      <c r="B163" s="30"/>
      <c r="C163" s="30"/>
      <c r="D163" s="103"/>
      <c r="E163" s="30"/>
      <c r="F163" s="103"/>
      <c r="G163" s="30"/>
      <c r="H163" s="103"/>
      <c r="I163" s="30"/>
      <c r="J163" s="103"/>
      <c r="K163" s="30"/>
      <c r="L163" s="103"/>
    </row>
    <row r="164" spans="1:12">
      <c r="A164" s="29"/>
      <c r="B164" s="30"/>
      <c r="C164" s="30"/>
      <c r="D164" s="103"/>
      <c r="E164" s="30"/>
      <c r="F164" s="103"/>
      <c r="G164" s="30"/>
      <c r="H164" s="103"/>
      <c r="I164" s="30"/>
      <c r="J164" s="103"/>
      <c r="K164" s="30"/>
      <c r="L164" s="103"/>
    </row>
    <row r="165" spans="1:12">
      <c r="A165" s="29"/>
      <c r="B165" s="30"/>
      <c r="C165" s="30"/>
      <c r="D165" s="103"/>
      <c r="E165" s="30"/>
      <c r="F165" s="103"/>
      <c r="G165" s="30"/>
      <c r="H165" s="103"/>
      <c r="I165" s="30"/>
      <c r="J165" s="103"/>
      <c r="K165" s="30"/>
      <c r="L165" s="103"/>
    </row>
    <row r="166" spans="1:12">
      <c r="A166" s="29"/>
      <c r="B166" s="30"/>
      <c r="C166" s="30"/>
      <c r="D166" s="103"/>
      <c r="E166" s="30"/>
      <c r="F166" s="103"/>
      <c r="G166" s="30"/>
      <c r="H166" s="103"/>
      <c r="I166" s="30"/>
      <c r="J166" s="103"/>
      <c r="K166" s="30"/>
      <c r="L166" s="103"/>
    </row>
    <row r="167" spans="1:12">
      <c r="A167" s="29"/>
      <c r="B167" s="30"/>
      <c r="C167" s="30"/>
      <c r="D167" s="103"/>
      <c r="E167" s="30"/>
      <c r="F167" s="103"/>
      <c r="G167" s="30"/>
      <c r="H167" s="103"/>
      <c r="I167" s="30"/>
      <c r="J167" s="103"/>
      <c r="K167" s="30"/>
      <c r="L167" s="103"/>
    </row>
    <row r="168" spans="1:12">
      <c r="A168" s="29"/>
      <c r="B168" s="30"/>
      <c r="C168" s="30"/>
      <c r="D168" s="103"/>
      <c r="E168" s="30"/>
      <c r="F168" s="103"/>
      <c r="G168" s="30"/>
      <c r="H168" s="103"/>
      <c r="I168" s="30"/>
      <c r="J168" s="103"/>
      <c r="K168" s="30"/>
      <c r="L168" s="103"/>
    </row>
    <row r="169" spans="1:12">
      <c r="A169" s="29"/>
      <c r="B169" s="30"/>
      <c r="C169" s="30"/>
      <c r="D169" s="103"/>
      <c r="E169" s="30"/>
      <c r="F169" s="103"/>
      <c r="G169" s="30"/>
      <c r="H169" s="103"/>
      <c r="I169" s="30"/>
      <c r="J169" s="103"/>
      <c r="K169" s="30"/>
      <c r="L169" s="103"/>
    </row>
    <row r="170" spans="1:12">
      <c r="A170" s="29"/>
      <c r="B170" s="30"/>
      <c r="C170" s="30"/>
      <c r="D170" s="103"/>
      <c r="E170" s="30"/>
      <c r="F170" s="103"/>
      <c r="G170" s="30"/>
      <c r="H170" s="103"/>
      <c r="I170" s="30"/>
      <c r="J170" s="103"/>
      <c r="K170" s="30"/>
      <c r="L170" s="103"/>
    </row>
    <row r="171" spans="1:12">
      <c r="A171" s="29"/>
      <c r="B171" s="30"/>
      <c r="C171" s="30"/>
      <c r="D171" s="103"/>
      <c r="E171" s="30"/>
      <c r="F171" s="103"/>
      <c r="G171" s="30"/>
      <c r="H171" s="103"/>
      <c r="I171" s="30"/>
      <c r="J171" s="103"/>
      <c r="K171" s="30"/>
      <c r="L171" s="103"/>
    </row>
    <row r="172" spans="1:12">
      <c r="A172" s="29"/>
      <c r="B172" s="30"/>
      <c r="C172" s="30"/>
      <c r="D172" s="103"/>
      <c r="E172" s="30"/>
      <c r="F172" s="103"/>
      <c r="G172" s="30"/>
      <c r="H172" s="103"/>
      <c r="I172" s="30"/>
      <c r="J172" s="103"/>
      <c r="K172" s="30"/>
      <c r="L172" s="103"/>
    </row>
    <row r="173" spans="1:12">
      <c r="A173" s="29"/>
      <c r="B173" s="30"/>
      <c r="C173" s="30"/>
      <c r="D173" s="103"/>
      <c r="E173" s="30"/>
      <c r="F173" s="103"/>
      <c r="G173" s="30"/>
      <c r="H173" s="103"/>
      <c r="I173" s="30"/>
      <c r="J173" s="103"/>
      <c r="K173" s="30"/>
      <c r="L173" s="103"/>
    </row>
    <row r="174" spans="1:12">
      <c r="A174" s="29"/>
      <c r="B174" s="30"/>
      <c r="C174" s="30"/>
      <c r="D174" s="103"/>
      <c r="E174" s="30"/>
      <c r="F174" s="103"/>
      <c r="G174" s="30"/>
      <c r="H174" s="103"/>
      <c r="I174" s="30"/>
      <c r="J174" s="103"/>
      <c r="K174" s="30"/>
      <c r="L174" s="103"/>
    </row>
    <row r="175" spans="1:12">
      <c r="A175" s="29"/>
      <c r="B175" s="30"/>
      <c r="C175" s="30"/>
      <c r="D175" s="103"/>
      <c r="E175" s="30"/>
      <c r="F175" s="103"/>
      <c r="G175" s="30"/>
      <c r="H175" s="103"/>
      <c r="I175" s="30"/>
      <c r="J175" s="103"/>
      <c r="K175" s="30"/>
      <c r="L175" s="103"/>
    </row>
    <row r="176" spans="1:12">
      <c r="A176" s="29"/>
      <c r="B176" s="30"/>
      <c r="C176" s="30"/>
      <c r="D176" s="103"/>
      <c r="E176" s="30"/>
      <c r="F176" s="103"/>
      <c r="G176" s="30"/>
      <c r="H176" s="103"/>
      <c r="I176" s="30"/>
      <c r="J176" s="103"/>
      <c r="K176" s="30"/>
      <c r="L176" s="103"/>
    </row>
    <row r="177" spans="1:12">
      <c r="A177" s="29"/>
      <c r="B177" s="30"/>
      <c r="C177" s="30"/>
      <c r="D177" s="103"/>
      <c r="E177" s="30"/>
      <c r="F177" s="103"/>
      <c r="G177" s="30"/>
      <c r="H177" s="103"/>
      <c r="I177" s="30"/>
      <c r="J177" s="103"/>
      <c r="K177" s="30"/>
      <c r="L177" s="103"/>
    </row>
    <row r="178" spans="1:12">
      <c r="A178" s="29"/>
      <c r="B178" s="30"/>
      <c r="C178" s="30"/>
      <c r="D178" s="103"/>
      <c r="E178" s="30"/>
      <c r="F178" s="103"/>
      <c r="G178" s="30"/>
      <c r="H178" s="103"/>
      <c r="I178" s="30"/>
      <c r="J178" s="103"/>
      <c r="K178" s="30"/>
      <c r="L178" s="103"/>
    </row>
    <row r="179" spans="1:12">
      <c r="A179" s="29"/>
      <c r="B179" s="30"/>
      <c r="C179" s="30"/>
      <c r="D179" s="103"/>
      <c r="E179" s="30"/>
      <c r="F179" s="103"/>
      <c r="G179" s="30"/>
      <c r="H179" s="103"/>
      <c r="I179" s="30"/>
      <c r="J179" s="103"/>
      <c r="K179" s="30"/>
      <c r="L179" s="103"/>
    </row>
    <row r="180" spans="1:12">
      <c r="A180" s="29"/>
      <c r="B180" s="30"/>
      <c r="C180" s="30"/>
      <c r="D180" s="103"/>
      <c r="E180" s="30"/>
      <c r="F180" s="103"/>
      <c r="G180" s="30"/>
      <c r="H180" s="103"/>
      <c r="I180" s="30"/>
      <c r="J180" s="103"/>
      <c r="K180" s="30"/>
      <c r="L180" s="103"/>
    </row>
    <row r="181" spans="1:12">
      <c r="A181" s="29"/>
      <c r="B181" s="30"/>
      <c r="C181" s="30"/>
      <c r="D181" s="103"/>
      <c r="E181" s="30"/>
      <c r="F181" s="103"/>
      <c r="G181" s="30"/>
      <c r="H181" s="103"/>
      <c r="I181" s="30"/>
      <c r="J181" s="103"/>
      <c r="K181" s="30"/>
      <c r="L181" s="103"/>
    </row>
    <row r="182" spans="1:12">
      <c r="A182" s="29"/>
      <c r="B182" s="30"/>
      <c r="C182" s="30"/>
      <c r="D182" s="103"/>
      <c r="E182" s="30"/>
      <c r="F182" s="103"/>
      <c r="G182" s="30"/>
      <c r="H182" s="103"/>
      <c r="I182" s="30"/>
      <c r="J182" s="103"/>
      <c r="K182" s="30"/>
      <c r="L182" s="103"/>
    </row>
    <row r="183" spans="1:12">
      <c r="A183" s="29"/>
      <c r="B183" s="30"/>
      <c r="C183" s="30"/>
      <c r="D183" s="103"/>
      <c r="E183" s="30"/>
      <c r="F183" s="103"/>
      <c r="G183" s="30"/>
      <c r="H183" s="103"/>
      <c r="I183" s="30"/>
      <c r="J183" s="103"/>
      <c r="K183" s="30"/>
      <c r="L183" s="103"/>
    </row>
    <row r="184" spans="1:12">
      <c r="A184" s="29"/>
      <c r="B184" s="30"/>
      <c r="C184" s="30"/>
      <c r="D184" s="103"/>
      <c r="E184" s="30"/>
      <c r="F184" s="103"/>
      <c r="G184" s="30"/>
      <c r="H184" s="103"/>
      <c r="I184" s="30"/>
      <c r="J184" s="103"/>
      <c r="K184" s="30"/>
      <c r="L184" s="103"/>
    </row>
    <row r="185" spans="1:12">
      <c r="A185" s="29"/>
      <c r="B185" s="30"/>
      <c r="C185" s="30"/>
      <c r="D185" s="103"/>
      <c r="E185" s="30"/>
      <c r="F185" s="103"/>
      <c r="G185" s="30"/>
      <c r="H185" s="103"/>
      <c r="I185" s="30"/>
      <c r="J185" s="103"/>
      <c r="K185" s="30"/>
      <c r="L185" s="103"/>
    </row>
    <row r="186" spans="1:12">
      <c r="A186" s="29"/>
      <c r="B186" s="30"/>
      <c r="C186" s="30"/>
      <c r="D186" s="103"/>
      <c r="E186" s="30"/>
      <c r="F186" s="103"/>
      <c r="G186" s="30"/>
      <c r="H186" s="103"/>
      <c r="I186" s="30"/>
      <c r="J186" s="103"/>
      <c r="K186" s="30"/>
      <c r="L186" s="103"/>
    </row>
    <row r="187" spans="1:12">
      <c r="A187" s="29"/>
      <c r="B187" s="30"/>
      <c r="C187" s="30"/>
      <c r="D187" s="103"/>
      <c r="E187" s="30"/>
      <c r="F187" s="103"/>
      <c r="G187" s="30"/>
      <c r="H187" s="103"/>
      <c r="I187" s="30"/>
      <c r="J187" s="103"/>
      <c r="K187" s="30"/>
      <c r="L187" s="103"/>
    </row>
    <row r="188" spans="1:12">
      <c r="A188" s="29"/>
      <c r="B188" s="30"/>
      <c r="C188" s="30"/>
      <c r="D188" s="103"/>
      <c r="E188" s="30"/>
      <c r="F188" s="103"/>
      <c r="G188" s="30"/>
      <c r="H188" s="103"/>
      <c r="I188" s="30"/>
      <c r="J188" s="103"/>
      <c r="K188" s="30"/>
      <c r="L188" s="103"/>
    </row>
    <row r="189" spans="1:12">
      <c r="A189" s="29"/>
      <c r="B189" s="30"/>
      <c r="C189" s="30"/>
      <c r="D189" s="103"/>
      <c r="E189" s="30"/>
      <c r="F189" s="103"/>
      <c r="G189" s="30"/>
      <c r="H189" s="103"/>
      <c r="I189" s="30"/>
      <c r="J189" s="103"/>
      <c r="K189" s="30"/>
      <c r="L189" s="103"/>
    </row>
    <row r="190" spans="1:12">
      <c r="A190" s="29"/>
      <c r="B190" s="30"/>
      <c r="C190" s="30"/>
      <c r="D190" s="103"/>
      <c r="E190" s="30"/>
      <c r="F190" s="103"/>
      <c r="G190" s="30"/>
      <c r="H190" s="103"/>
      <c r="I190" s="30"/>
      <c r="J190" s="103"/>
      <c r="K190" s="30"/>
      <c r="L190" s="103"/>
    </row>
    <row r="191" spans="1:12">
      <c r="A191" s="29"/>
      <c r="B191" s="30"/>
      <c r="C191" s="30"/>
      <c r="D191" s="103"/>
      <c r="E191" s="30"/>
      <c r="F191" s="103"/>
      <c r="G191" s="30"/>
      <c r="H191" s="103"/>
      <c r="I191" s="30"/>
      <c r="J191" s="103"/>
      <c r="K191" s="30"/>
      <c r="L191" s="103"/>
    </row>
    <row r="192" spans="1:12">
      <c r="A192" s="29"/>
      <c r="B192" s="30"/>
      <c r="C192" s="30"/>
      <c r="D192" s="103"/>
      <c r="E192" s="30"/>
      <c r="F192" s="103"/>
      <c r="G192" s="30"/>
      <c r="H192" s="103"/>
      <c r="I192" s="30"/>
      <c r="J192" s="103"/>
      <c r="K192" s="30"/>
      <c r="L192" s="103"/>
    </row>
    <row r="193" spans="1:12">
      <c r="A193" s="29"/>
      <c r="B193" s="30"/>
      <c r="C193" s="30"/>
      <c r="D193" s="103"/>
      <c r="E193" s="30"/>
      <c r="F193" s="103"/>
      <c r="G193" s="30"/>
      <c r="H193" s="103"/>
      <c r="I193" s="30"/>
      <c r="J193" s="103"/>
      <c r="K193" s="30"/>
      <c r="L193" s="103"/>
    </row>
    <row r="194" spans="1:12">
      <c r="A194" s="29"/>
      <c r="B194" s="30"/>
      <c r="C194" s="30"/>
      <c r="D194" s="103"/>
      <c r="E194" s="30"/>
      <c r="F194" s="103"/>
      <c r="G194" s="30"/>
      <c r="H194" s="103"/>
      <c r="I194" s="30"/>
      <c r="J194" s="103"/>
      <c r="K194" s="30"/>
      <c r="L194" s="103"/>
    </row>
    <row r="195" spans="1:12">
      <c r="A195" s="29"/>
      <c r="B195" s="30"/>
      <c r="C195" s="30"/>
      <c r="D195" s="103"/>
      <c r="E195" s="30"/>
      <c r="F195" s="103"/>
      <c r="G195" s="30"/>
      <c r="H195" s="103"/>
      <c r="I195" s="30"/>
      <c r="J195" s="103"/>
      <c r="K195" s="30"/>
      <c r="L195" s="103"/>
    </row>
    <row r="196" spans="1:12">
      <c r="A196" s="29"/>
      <c r="B196" s="30"/>
      <c r="C196" s="30"/>
      <c r="D196" s="103"/>
      <c r="E196" s="30"/>
      <c r="F196" s="103"/>
      <c r="G196" s="30"/>
      <c r="H196" s="103"/>
      <c r="I196" s="30"/>
      <c r="J196" s="103"/>
      <c r="K196" s="30"/>
      <c r="L196" s="103"/>
    </row>
    <row r="197" spans="1:12">
      <c r="A197" s="29"/>
      <c r="B197" s="30"/>
      <c r="C197" s="30"/>
      <c r="D197" s="103"/>
      <c r="E197" s="30"/>
      <c r="F197" s="103"/>
      <c r="G197" s="30"/>
      <c r="H197" s="103"/>
      <c r="I197" s="30"/>
      <c r="J197" s="103"/>
      <c r="K197" s="30"/>
      <c r="L197" s="103"/>
    </row>
    <row r="198" spans="1:12">
      <c r="A198" s="29"/>
      <c r="B198" s="30"/>
      <c r="C198" s="30"/>
      <c r="D198" s="103"/>
      <c r="E198" s="30"/>
      <c r="F198" s="103"/>
      <c r="G198" s="30"/>
      <c r="H198" s="103"/>
      <c r="I198" s="30"/>
      <c r="J198" s="103"/>
      <c r="K198" s="30"/>
      <c r="L198" s="103"/>
    </row>
    <row r="199" spans="1:12">
      <c r="A199" s="29"/>
      <c r="B199" s="30"/>
      <c r="C199" s="30"/>
      <c r="D199" s="103"/>
      <c r="E199" s="30"/>
      <c r="F199" s="103"/>
      <c r="G199" s="30"/>
      <c r="H199" s="103"/>
      <c r="I199" s="30"/>
      <c r="J199" s="103"/>
      <c r="K199" s="30"/>
      <c r="L199" s="103"/>
    </row>
    <row r="200" spans="1:12">
      <c r="A200" s="29"/>
      <c r="B200" s="30"/>
      <c r="C200" s="30"/>
      <c r="D200" s="103"/>
      <c r="E200" s="30"/>
      <c r="F200" s="103"/>
      <c r="G200" s="30"/>
      <c r="H200" s="103"/>
      <c r="I200" s="30"/>
      <c r="J200" s="103"/>
      <c r="K200" s="30"/>
      <c r="L200" s="103"/>
    </row>
    <row r="201" spans="1:12">
      <c r="B201" s="99"/>
      <c r="C201" s="99"/>
      <c r="D201" s="99"/>
      <c r="E201" s="99"/>
      <c r="F201" s="99"/>
      <c r="G201" s="99"/>
      <c r="H201" s="99"/>
      <c r="I201" s="99"/>
      <c r="J201" s="99"/>
      <c r="K201" s="99"/>
      <c r="L201" s="99"/>
    </row>
    <row r="202" spans="1:12">
      <c r="B202" s="99"/>
      <c r="C202" s="99"/>
      <c r="D202" s="99"/>
      <c r="E202" s="99"/>
      <c r="F202" s="99"/>
      <c r="G202" s="99"/>
      <c r="H202" s="99"/>
      <c r="I202" s="99"/>
      <c r="J202" s="99"/>
      <c r="K202" s="99"/>
      <c r="L202" s="99"/>
    </row>
    <row r="203" spans="1:12">
      <c r="B203" s="99"/>
      <c r="C203" s="99"/>
      <c r="D203" s="99"/>
      <c r="E203" s="99"/>
      <c r="F203" s="99"/>
      <c r="G203" s="99"/>
      <c r="H203" s="99"/>
      <c r="I203" s="99"/>
      <c r="J203" s="99"/>
      <c r="K203" s="99"/>
      <c r="L203" s="99"/>
    </row>
    <row r="204" spans="1:12">
      <c r="B204" s="99"/>
      <c r="C204" s="99"/>
      <c r="D204" s="99"/>
      <c r="E204" s="99"/>
      <c r="F204" s="99"/>
      <c r="G204" s="99"/>
      <c r="H204" s="99"/>
      <c r="I204" s="99"/>
      <c r="J204" s="99"/>
      <c r="K204" s="99"/>
      <c r="L204" s="99"/>
    </row>
    <row r="205" spans="1:12">
      <c r="B205" s="99"/>
      <c r="C205" s="99"/>
      <c r="D205" s="99"/>
      <c r="E205" s="99"/>
      <c r="F205" s="99"/>
      <c r="G205" s="99"/>
      <c r="H205" s="99"/>
      <c r="I205" s="99"/>
      <c r="J205" s="99"/>
      <c r="K205" s="99"/>
      <c r="L205" s="99"/>
    </row>
    <row r="206" spans="1:12">
      <c r="B206" s="99"/>
      <c r="C206" s="99"/>
      <c r="D206" s="99"/>
      <c r="E206" s="99"/>
      <c r="F206" s="99"/>
      <c r="G206" s="99"/>
      <c r="H206" s="99"/>
      <c r="I206" s="99"/>
      <c r="J206" s="99"/>
      <c r="K206" s="99"/>
      <c r="L206" s="99"/>
    </row>
    <row r="207" spans="1:12">
      <c r="B207" s="99"/>
      <c r="C207" s="99"/>
      <c r="D207" s="99"/>
      <c r="E207" s="99"/>
      <c r="F207" s="99"/>
      <c r="G207" s="99"/>
      <c r="H207" s="99"/>
      <c r="I207" s="99"/>
      <c r="J207" s="99"/>
      <c r="K207" s="99"/>
      <c r="L207" s="99"/>
    </row>
    <row r="208" spans="1:12">
      <c r="B208" s="99"/>
      <c r="C208" s="99"/>
      <c r="D208" s="99"/>
      <c r="E208" s="99"/>
      <c r="F208" s="99"/>
      <c r="G208" s="99"/>
      <c r="H208" s="99"/>
      <c r="I208" s="99"/>
      <c r="J208" s="99"/>
      <c r="K208" s="99"/>
      <c r="L208" s="99"/>
    </row>
    <row r="209" spans="2:12">
      <c r="B209" s="99"/>
      <c r="C209" s="99"/>
      <c r="D209" s="99"/>
      <c r="E209" s="99"/>
      <c r="F209" s="99"/>
      <c r="G209" s="99"/>
      <c r="H209" s="99"/>
      <c r="I209" s="99"/>
      <c r="J209" s="99"/>
      <c r="K209" s="99"/>
      <c r="L209" s="99"/>
    </row>
    <row r="210" spans="2:12">
      <c r="B210" s="99"/>
      <c r="C210" s="99"/>
      <c r="D210" s="99"/>
      <c r="E210" s="99"/>
      <c r="F210" s="99"/>
      <c r="G210" s="99"/>
      <c r="H210" s="99"/>
      <c r="I210" s="99"/>
      <c r="J210" s="99"/>
      <c r="K210" s="99"/>
      <c r="L210" s="99"/>
    </row>
    <row r="211" spans="2:12">
      <c r="B211" s="99"/>
      <c r="C211" s="99"/>
      <c r="D211" s="99"/>
      <c r="E211" s="99"/>
      <c r="F211" s="99"/>
      <c r="G211" s="99"/>
      <c r="H211" s="99"/>
      <c r="I211" s="99"/>
      <c r="J211" s="99"/>
      <c r="K211" s="99"/>
      <c r="L211" s="99"/>
    </row>
    <row r="212" spans="2:12">
      <c r="B212" s="99"/>
      <c r="C212" s="99"/>
      <c r="D212" s="99"/>
      <c r="E212" s="99"/>
      <c r="F212" s="99"/>
      <c r="G212" s="99"/>
      <c r="H212" s="99"/>
      <c r="I212" s="99"/>
      <c r="J212" s="99"/>
      <c r="K212" s="99"/>
      <c r="L212" s="99"/>
    </row>
    <row r="213" spans="2:12">
      <c r="B213" s="99"/>
      <c r="C213" s="99"/>
      <c r="D213" s="99"/>
      <c r="E213" s="99"/>
      <c r="F213" s="99"/>
      <c r="G213" s="99"/>
      <c r="H213" s="99"/>
      <c r="I213" s="99"/>
      <c r="J213" s="99"/>
      <c r="K213" s="99"/>
      <c r="L213" s="99"/>
    </row>
    <row r="214" spans="2:12">
      <c r="B214" s="99"/>
      <c r="C214" s="99"/>
      <c r="D214" s="99"/>
      <c r="E214" s="99"/>
      <c r="F214" s="99"/>
      <c r="G214" s="99"/>
      <c r="H214" s="99"/>
      <c r="I214" s="99"/>
      <c r="J214" s="99"/>
      <c r="K214" s="99"/>
      <c r="L214" s="99"/>
    </row>
    <row r="215" spans="2:12">
      <c r="B215" s="99"/>
      <c r="C215" s="99"/>
      <c r="D215" s="99"/>
      <c r="E215" s="99"/>
      <c r="F215" s="99"/>
      <c r="G215" s="99"/>
      <c r="H215" s="99"/>
      <c r="I215" s="99"/>
      <c r="J215" s="99"/>
      <c r="K215" s="99"/>
      <c r="L215" s="99"/>
    </row>
    <row r="216" spans="2:12">
      <c r="B216" s="99"/>
      <c r="C216" s="99"/>
      <c r="D216" s="99"/>
      <c r="E216" s="99"/>
      <c r="F216" s="99"/>
      <c r="G216" s="99"/>
      <c r="H216" s="99"/>
      <c r="I216" s="99"/>
      <c r="J216" s="99"/>
      <c r="K216" s="99"/>
      <c r="L216" s="99"/>
    </row>
    <row r="217" spans="2:12">
      <c r="B217" s="99"/>
      <c r="C217" s="99"/>
      <c r="D217" s="99"/>
      <c r="E217" s="99"/>
      <c r="F217" s="99"/>
      <c r="G217" s="99"/>
      <c r="H217" s="99"/>
      <c r="I217" s="99"/>
      <c r="J217" s="99"/>
      <c r="K217" s="99"/>
      <c r="L217" s="99"/>
    </row>
    <row r="218" spans="2:12">
      <c r="B218" s="99"/>
      <c r="C218" s="99"/>
      <c r="D218" s="99"/>
      <c r="E218" s="99"/>
      <c r="F218" s="99"/>
      <c r="G218" s="99"/>
      <c r="H218" s="99"/>
      <c r="I218" s="99"/>
      <c r="J218" s="99"/>
      <c r="K218" s="99"/>
      <c r="L218" s="99"/>
    </row>
    <row r="219" spans="2:12">
      <c r="B219" s="99"/>
      <c r="C219" s="99"/>
      <c r="D219" s="99"/>
      <c r="E219" s="99"/>
      <c r="F219" s="99"/>
      <c r="G219" s="99"/>
      <c r="H219" s="99"/>
      <c r="I219" s="99"/>
      <c r="J219" s="99"/>
      <c r="K219" s="99"/>
      <c r="L219" s="99"/>
    </row>
    <row r="220" spans="2:12">
      <c r="B220" s="99"/>
      <c r="C220" s="99"/>
      <c r="D220" s="99"/>
      <c r="E220" s="99"/>
      <c r="F220" s="99"/>
      <c r="G220" s="99"/>
      <c r="H220" s="99"/>
      <c r="I220" s="99"/>
      <c r="J220" s="99"/>
      <c r="K220" s="99"/>
      <c r="L220" s="99"/>
    </row>
    <row r="221" spans="2:12">
      <c r="B221" s="99"/>
      <c r="C221" s="99"/>
      <c r="D221" s="99"/>
      <c r="E221" s="99"/>
      <c r="F221" s="99"/>
      <c r="G221" s="99"/>
      <c r="H221" s="99"/>
      <c r="I221" s="99"/>
      <c r="J221" s="99"/>
      <c r="K221" s="99"/>
      <c r="L221" s="99"/>
    </row>
    <row r="222" spans="2:12">
      <c r="B222" s="99"/>
      <c r="C222" s="99"/>
      <c r="D222" s="99"/>
      <c r="E222" s="99"/>
      <c r="F222" s="99"/>
      <c r="G222" s="99"/>
      <c r="H222" s="99"/>
      <c r="I222" s="99"/>
      <c r="J222" s="99"/>
      <c r="K222" s="99"/>
      <c r="L222" s="99"/>
    </row>
    <row r="223" spans="2:12">
      <c r="B223" s="99"/>
      <c r="C223" s="99"/>
      <c r="D223" s="99"/>
      <c r="E223" s="99"/>
      <c r="F223" s="99"/>
      <c r="G223" s="99"/>
      <c r="H223" s="99"/>
      <c r="I223" s="99"/>
      <c r="J223" s="99"/>
      <c r="K223" s="99"/>
      <c r="L223" s="99"/>
    </row>
    <row r="224" spans="2:12">
      <c r="B224" s="99"/>
      <c r="C224" s="99"/>
      <c r="D224" s="99"/>
      <c r="E224" s="99"/>
      <c r="F224" s="99"/>
      <c r="G224" s="99"/>
      <c r="H224" s="99"/>
      <c r="I224" s="99"/>
      <c r="J224" s="99"/>
      <c r="K224" s="99"/>
      <c r="L224" s="99"/>
    </row>
    <row r="225" spans="2:12">
      <c r="B225" s="99"/>
      <c r="C225" s="99"/>
      <c r="D225" s="99"/>
      <c r="E225" s="99"/>
      <c r="F225" s="99"/>
      <c r="G225" s="99"/>
      <c r="H225" s="99"/>
      <c r="I225" s="99"/>
      <c r="J225" s="99"/>
      <c r="K225" s="99"/>
      <c r="L225" s="99"/>
    </row>
    <row r="226" spans="2:12">
      <c r="B226" s="99"/>
      <c r="C226" s="99"/>
      <c r="D226" s="99"/>
      <c r="E226" s="99"/>
      <c r="F226" s="99"/>
      <c r="G226" s="99"/>
      <c r="H226" s="99"/>
      <c r="I226" s="99"/>
      <c r="J226" s="99"/>
      <c r="K226" s="99"/>
      <c r="L226" s="99"/>
    </row>
    <row r="227" spans="2:12">
      <c r="B227" s="99"/>
      <c r="C227" s="99"/>
      <c r="D227" s="99"/>
      <c r="E227" s="99"/>
      <c r="F227" s="99"/>
      <c r="G227" s="99"/>
      <c r="H227" s="99"/>
      <c r="I227" s="99"/>
      <c r="J227" s="99"/>
      <c r="K227" s="99"/>
      <c r="L227" s="99"/>
    </row>
    <row r="228" spans="2:12">
      <c r="B228" s="99"/>
      <c r="C228" s="99"/>
      <c r="D228" s="99"/>
      <c r="E228" s="99"/>
      <c r="F228" s="99"/>
      <c r="G228" s="99"/>
      <c r="H228" s="99"/>
      <c r="I228" s="99"/>
      <c r="J228" s="99"/>
      <c r="K228" s="99"/>
      <c r="L228" s="99"/>
    </row>
    <row r="229" spans="2:12">
      <c r="B229" s="99"/>
      <c r="C229" s="99"/>
      <c r="D229" s="99"/>
      <c r="E229" s="99"/>
      <c r="F229" s="99"/>
      <c r="G229" s="99"/>
      <c r="H229" s="99"/>
      <c r="I229" s="99"/>
      <c r="J229" s="99"/>
      <c r="K229" s="99"/>
      <c r="L229" s="99"/>
    </row>
    <row r="230" spans="2:12">
      <c r="B230" s="99"/>
      <c r="C230" s="99"/>
      <c r="D230" s="99"/>
      <c r="E230" s="99"/>
      <c r="F230" s="99"/>
      <c r="G230" s="99"/>
      <c r="H230" s="99"/>
      <c r="I230" s="99"/>
      <c r="J230" s="99"/>
      <c r="K230" s="99"/>
      <c r="L230" s="99"/>
    </row>
    <row r="231" spans="2:12">
      <c r="B231" s="99"/>
      <c r="C231" s="99"/>
      <c r="D231" s="99"/>
      <c r="E231" s="99"/>
      <c r="F231" s="99"/>
      <c r="G231" s="99"/>
      <c r="H231" s="99"/>
      <c r="I231" s="99"/>
      <c r="J231" s="99"/>
      <c r="K231" s="99"/>
      <c r="L231" s="99"/>
    </row>
    <row r="232" spans="2:12">
      <c r="B232" s="99"/>
      <c r="C232" s="99"/>
      <c r="D232" s="99"/>
      <c r="E232" s="99"/>
      <c r="F232" s="99"/>
      <c r="G232" s="99"/>
      <c r="H232" s="99"/>
      <c r="I232" s="99"/>
      <c r="J232" s="99"/>
      <c r="K232" s="99"/>
      <c r="L232" s="99"/>
    </row>
    <row r="233" spans="2:12">
      <c r="B233" s="99"/>
      <c r="C233" s="99"/>
      <c r="D233" s="99"/>
      <c r="E233" s="99"/>
      <c r="F233" s="99"/>
      <c r="G233" s="99"/>
      <c r="H233" s="99"/>
      <c r="I233" s="99"/>
      <c r="J233" s="99"/>
      <c r="K233" s="99"/>
      <c r="L233" s="99"/>
    </row>
    <row r="234" spans="2:12">
      <c r="B234" s="99"/>
      <c r="C234" s="99"/>
      <c r="D234" s="99"/>
      <c r="E234" s="99"/>
      <c r="F234" s="99"/>
      <c r="G234" s="99"/>
      <c r="H234" s="99"/>
      <c r="I234" s="99"/>
      <c r="J234" s="99"/>
      <c r="K234" s="99"/>
      <c r="L234" s="99"/>
    </row>
    <row r="235" spans="2:12">
      <c r="B235" s="99"/>
      <c r="C235" s="99"/>
      <c r="D235" s="99"/>
      <c r="E235" s="99"/>
      <c r="F235" s="99"/>
      <c r="G235" s="99"/>
      <c r="H235" s="99"/>
      <c r="I235" s="99"/>
      <c r="J235" s="99"/>
      <c r="K235" s="99"/>
      <c r="L235" s="99"/>
    </row>
    <row r="236" spans="2:12">
      <c r="B236" s="99"/>
      <c r="C236" s="99"/>
      <c r="D236" s="99"/>
      <c r="E236" s="99"/>
      <c r="F236" s="99"/>
      <c r="G236" s="99"/>
      <c r="H236" s="99"/>
      <c r="I236" s="99"/>
      <c r="J236" s="99"/>
      <c r="K236" s="99"/>
      <c r="L236" s="99"/>
    </row>
    <row r="237" spans="2:12">
      <c r="B237" s="99"/>
      <c r="C237" s="99"/>
      <c r="D237" s="99"/>
      <c r="E237" s="99"/>
      <c r="F237" s="99"/>
      <c r="G237" s="99"/>
      <c r="H237" s="99"/>
      <c r="I237" s="99"/>
      <c r="J237" s="99"/>
      <c r="K237" s="99"/>
      <c r="L237" s="99"/>
    </row>
    <row r="238" spans="2:12">
      <c r="B238" s="99"/>
      <c r="C238" s="99"/>
      <c r="D238" s="99"/>
      <c r="E238" s="99"/>
      <c r="F238" s="99"/>
      <c r="G238" s="99"/>
      <c r="H238" s="99"/>
      <c r="I238" s="99"/>
      <c r="J238" s="99"/>
      <c r="K238" s="99"/>
      <c r="L238" s="99"/>
    </row>
    <row r="239" spans="2:12">
      <c r="B239" s="99"/>
      <c r="C239" s="99"/>
      <c r="D239" s="99"/>
      <c r="E239" s="99"/>
      <c r="F239" s="99"/>
      <c r="G239" s="99"/>
      <c r="H239" s="99"/>
      <c r="I239" s="99"/>
      <c r="J239" s="99"/>
      <c r="K239" s="99"/>
      <c r="L239" s="99"/>
    </row>
    <row r="240" spans="2:12">
      <c r="B240" s="99"/>
      <c r="C240" s="99"/>
      <c r="D240" s="99"/>
      <c r="E240" s="99"/>
      <c r="F240" s="99"/>
      <c r="G240" s="99"/>
      <c r="H240" s="99"/>
      <c r="I240" s="99"/>
      <c r="J240" s="99"/>
      <c r="K240" s="99"/>
      <c r="L240" s="99"/>
    </row>
    <row r="241" spans="2:12">
      <c r="B241" s="99"/>
      <c r="C241" s="99"/>
      <c r="D241" s="99"/>
      <c r="E241" s="99"/>
      <c r="F241" s="99"/>
      <c r="G241" s="99"/>
      <c r="H241" s="99"/>
      <c r="I241" s="99"/>
      <c r="J241" s="99"/>
      <c r="K241" s="99"/>
      <c r="L241" s="99"/>
    </row>
    <row r="242" spans="2:12">
      <c r="B242" s="99"/>
      <c r="C242" s="99"/>
      <c r="D242" s="99"/>
      <c r="E242" s="99"/>
      <c r="F242" s="99"/>
      <c r="G242" s="99"/>
      <c r="H242" s="99"/>
      <c r="I242" s="99"/>
      <c r="J242" s="99"/>
      <c r="K242" s="99"/>
      <c r="L242" s="99"/>
    </row>
    <row r="243" spans="2:12">
      <c r="B243" s="99"/>
      <c r="C243" s="99"/>
      <c r="D243" s="99"/>
      <c r="E243" s="99"/>
      <c r="F243" s="99"/>
      <c r="G243" s="99"/>
      <c r="H243" s="99"/>
      <c r="I243" s="99"/>
      <c r="J243" s="99"/>
      <c r="K243" s="99"/>
      <c r="L243" s="99"/>
    </row>
    <row r="244" spans="2:12">
      <c r="B244" s="99"/>
      <c r="C244" s="99"/>
      <c r="D244" s="99"/>
      <c r="E244" s="99"/>
      <c r="F244" s="99"/>
      <c r="G244" s="99"/>
      <c r="H244" s="99"/>
      <c r="I244" s="99"/>
      <c r="J244" s="99"/>
      <c r="K244" s="99"/>
      <c r="L244" s="99"/>
    </row>
    <row r="245" spans="2:12">
      <c r="B245" s="99"/>
      <c r="C245" s="99"/>
      <c r="D245" s="99"/>
      <c r="E245" s="99"/>
      <c r="F245" s="99"/>
      <c r="G245" s="99"/>
      <c r="H245" s="99"/>
      <c r="I245" s="99"/>
      <c r="J245" s="99"/>
      <c r="K245" s="99"/>
      <c r="L245" s="99"/>
    </row>
    <row r="246" spans="2:12">
      <c r="B246" s="99"/>
      <c r="C246" s="99"/>
      <c r="D246" s="99"/>
      <c r="E246" s="99"/>
      <c r="F246" s="99"/>
      <c r="G246" s="99"/>
      <c r="H246" s="99"/>
      <c r="I246" s="99"/>
      <c r="J246" s="99"/>
      <c r="K246" s="99"/>
      <c r="L246" s="99"/>
    </row>
    <row r="247" spans="2:12">
      <c r="B247" s="99"/>
      <c r="C247" s="99"/>
      <c r="D247" s="99"/>
      <c r="E247" s="99"/>
      <c r="F247" s="99"/>
      <c r="G247" s="99"/>
      <c r="H247" s="99"/>
      <c r="I247" s="99"/>
      <c r="J247" s="99"/>
      <c r="K247" s="99"/>
      <c r="L247" s="99"/>
    </row>
    <row r="248" spans="2:12">
      <c r="B248" s="99"/>
      <c r="C248" s="99"/>
      <c r="D248" s="99"/>
      <c r="E248" s="99"/>
      <c r="F248" s="99"/>
      <c r="G248" s="99"/>
      <c r="H248" s="99"/>
      <c r="I248" s="99"/>
      <c r="J248" s="99"/>
      <c r="K248" s="99"/>
      <c r="L248" s="99"/>
    </row>
    <row r="249" spans="2:12">
      <c r="B249" s="99"/>
      <c r="C249" s="99"/>
      <c r="D249" s="99"/>
      <c r="E249" s="99"/>
      <c r="F249" s="99"/>
      <c r="G249" s="99"/>
      <c r="H249" s="99"/>
      <c r="I249" s="99"/>
      <c r="J249" s="99"/>
      <c r="K249" s="99"/>
      <c r="L249" s="99"/>
    </row>
    <row r="250" spans="2:12">
      <c r="B250" s="99"/>
      <c r="C250" s="99"/>
      <c r="D250" s="99"/>
      <c r="E250" s="99"/>
      <c r="F250" s="99"/>
      <c r="G250" s="99"/>
      <c r="H250" s="99"/>
      <c r="I250" s="99"/>
      <c r="J250" s="99"/>
      <c r="K250" s="99"/>
      <c r="L250" s="99"/>
    </row>
    <row r="251" spans="2:12">
      <c r="B251" s="99"/>
      <c r="C251" s="99"/>
      <c r="D251" s="99"/>
      <c r="E251" s="99"/>
      <c r="F251" s="99"/>
      <c r="G251" s="99"/>
      <c r="H251" s="99"/>
      <c r="I251" s="99"/>
      <c r="J251" s="99"/>
      <c r="K251" s="99"/>
      <c r="L251" s="99"/>
    </row>
    <row r="252" spans="2:12">
      <c r="B252" s="99"/>
      <c r="C252" s="99"/>
      <c r="D252" s="99"/>
      <c r="E252" s="99"/>
      <c r="F252" s="99"/>
      <c r="G252" s="99"/>
      <c r="H252" s="99"/>
      <c r="I252" s="99"/>
      <c r="J252" s="99"/>
      <c r="K252" s="99"/>
      <c r="L252" s="99"/>
    </row>
    <row r="253" spans="2:12">
      <c r="B253" s="99"/>
      <c r="C253" s="99"/>
      <c r="D253" s="99"/>
      <c r="E253" s="99"/>
      <c r="F253" s="99"/>
      <c r="G253" s="99"/>
      <c r="H253" s="99"/>
      <c r="I253" s="99"/>
      <c r="J253" s="99"/>
      <c r="K253" s="99"/>
      <c r="L253" s="99"/>
    </row>
    <row r="254" spans="2:12">
      <c r="B254" s="99"/>
      <c r="C254" s="99"/>
      <c r="D254" s="99"/>
      <c r="E254" s="99"/>
      <c r="F254" s="99"/>
      <c r="G254" s="99"/>
      <c r="H254" s="99"/>
      <c r="I254" s="99"/>
      <c r="J254" s="99"/>
      <c r="K254" s="99"/>
      <c r="L254" s="99"/>
    </row>
    <row r="255" spans="2:12">
      <c r="B255" s="99"/>
      <c r="C255" s="99"/>
      <c r="D255" s="99"/>
      <c r="E255" s="99"/>
      <c r="F255" s="99"/>
      <c r="G255" s="99"/>
      <c r="H255" s="99"/>
      <c r="I255" s="99"/>
      <c r="J255" s="99"/>
      <c r="K255" s="99"/>
      <c r="L255" s="99"/>
    </row>
    <row r="256" spans="2:12">
      <c r="B256" s="99"/>
      <c r="C256" s="99"/>
      <c r="D256" s="99"/>
      <c r="E256" s="99"/>
      <c r="F256" s="99"/>
      <c r="G256" s="99"/>
      <c r="H256" s="99"/>
      <c r="I256" s="99"/>
      <c r="J256" s="99"/>
      <c r="K256" s="99"/>
      <c r="L256" s="99"/>
    </row>
    <row r="257" spans="2:12">
      <c r="B257" s="99"/>
      <c r="C257" s="99"/>
      <c r="D257" s="99"/>
      <c r="E257" s="99"/>
      <c r="F257" s="99"/>
      <c r="G257" s="99"/>
      <c r="H257" s="99"/>
      <c r="I257" s="99"/>
      <c r="J257" s="99"/>
      <c r="K257" s="99"/>
      <c r="L257" s="99"/>
    </row>
    <row r="258" spans="2:12">
      <c r="B258" s="99"/>
      <c r="C258" s="99"/>
      <c r="D258" s="99"/>
      <c r="E258" s="99"/>
      <c r="F258" s="99"/>
      <c r="G258" s="99"/>
      <c r="H258" s="99"/>
      <c r="I258" s="99"/>
      <c r="J258" s="99"/>
      <c r="K258" s="99"/>
      <c r="L258" s="99"/>
    </row>
    <row r="259" spans="2:12">
      <c r="B259" s="99"/>
      <c r="C259" s="99"/>
      <c r="D259" s="99"/>
      <c r="E259" s="99"/>
      <c r="F259" s="99"/>
      <c r="G259" s="99"/>
      <c r="H259" s="99"/>
      <c r="I259" s="99"/>
      <c r="J259" s="99"/>
      <c r="K259" s="99"/>
      <c r="L259" s="99"/>
    </row>
    <row r="260" spans="2:12">
      <c r="B260" s="99"/>
      <c r="C260" s="99"/>
      <c r="D260" s="99"/>
      <c r="E260" s="99"/>
      <c r="F260" s="99"/>
      <c r="G260" s="99"/>
      <c r="H260" s="99"/>
      <c r="I260" s="99"/>
      <c r="J260" s="99"/>
      <c r="K260" s="99"/>
      <c r="L260" s="99"/>
    </row>
    <row r="261" spans="2:12">
      <c r="B261" s="99"/>
      <c r="C261" s="99"/>
      <c r="D261" s="99"/>
      <c r="E261" s="99"/>
      <c r="F261" s="99"/>
      <c r="G261" s="99"/>
      <c r="H261" s="99"/>
      <c r="I261" s="99"/>
      <c r="J261" s="99"/>
      <c r="K261" s="99"/>
      <c r="L261" s="99"/>
    </row>
    <row r="262" spans="2:12">
      <c r="B262" s="99"/>
      <c r="C262" s="99"/>
      <c r="D262" s="99"/>
      <c r="E262" s="99"/>
      <c r="F262" s="99"/>
      <c r="G262" s="99"/>
      <c r="H262" s="99"/>
      <c r="I262" s="99"/>
      <c r="J262" s="99"/>
      <c r="K262" s="99"/>
      <c r="L262" s="99"/>
    </row>
    <row r="263" spans="2:12">
      <c r="B263" s="99"/>
      <c r="C263" s="99"/>
      <c r="D263" s="99"/>
      <c r="E263" s="99"/>
      <c r="F263" s="99"/>
      <c r="G263" s="99"/>
      <c r="H263" s="99"/>
      <c r="I263" s="99"/>
      <c r="J263" s="99"/>
      <c r="K263" s="99"/>
      <c r="L263" s="99"/>
    </row>
    <row r="264" spans="2:12">
      <c r="B264" s="99"/>
      <c r="C264" s="99"/>
      <c r="D264" s="99"/>
      <c r="E264" s="99"/>
      <c r="F264" s="99"/>
      <c r="G264" s="99"/>
      <c r="H264" s="99"/>
      <c r="I264" s="99"/>
      <c r="J264" s="99"/>
      <c r="K264" s="99"/>
      <c r="L264" s="99"/>
    </row>
    <row r="265" spans="2:12">
      <c r="B265" s="99"/>
      <c r="C265" s="99"/>
      <c r="D265" s="99"/>
      <c r="E265" s="99"/>
      <c r="F265" s="99"/>
      <c r="G265" s="99"/>
      <c r="H265" s="99"/>
      <c r="I265" s="99"/>
      <c r="J265" s="99"/>
      <c r="K265" s="99"/>
      <c r="L265" s="99"/>
    </row>
    <row r="266" spans="2:12">
      <c r="B266" s="99"/>
      <c r="C266" s="99"/>
      <c r="D266" s="99"/>
      <c r="E266" s="99"/>
      <c r="F266" s="99"/>
      <c r="G266" s="99"/>
      <c r="H266" s="99"/>
      <c r="I266" s="99"/>
      <c r="J266" s="99"/>
      <c r="K266" s="99"/>
      <c r="L266" s="99"/>
    </row>
    <row r="267" spans="2:12">
      <c r="B267" s="99"/>
      <c r="C267" s="99"/>
      <c r="D267" s="99"/>
      <c r="E267" s="99"/>
      <c r="F267" s="99"/>
      <c r="G267" s="99"/>
      <c r="H267" s="99"/>
      <c r="I267" s="99"/>
      <c r="J267" s="99"/>
      <c r="K267" s="99"/>
      <c r="L267" s="99"/>
    </row>
    <row r="268" spans="2:12">
      <c r="B268" s="99"/>
      <c r="C268" s="99"/>
      <c r="D268" s="99"/>
      <c r="E268" s="99"/>
      <c r="F268" s="99"/>
      <c r="G268" s="99"/>
      <c r="H268" s="99"/>
      <c r="I268" s="99"/>
      <c r="J268" s="99"/>
      <c r="K268" s="99"/>
      <c r="L268" s="99"/>
    </row>
    <row r="269" spans="2:12">
      <c r="B269" s="99"/>
      <c r="C269" s="99"/>
      <c r="D269" s="99"/>
      <c r="E269" s="99"/>
      <c r="F269" s="99"/>
      <c r="G269" s="99"/>
      <c r="H269" s="99"/>
      <c r="I269" s="99"/>
      <c r="J269" s="99"/>
      <c r="K269" s="99"/>
      <c r="L269" s="99"/>
    </row>
    <row r="270" spans="2:12">
      <c r="B270" s="99"/>
      <c r="C270" s="99"/>
      <c r="D270" s="99"/>
      <c r="E270" s="99"/>
      <c r="F270" s="99"/>
      <c r="G270" s="99"/>
      <c r="H270" s="99"/>
      <c r="I270" s="99"/>
      <c r="J270" s="99"/>
      <c r="K270" s="99"/>
      <c r="L270" s="99"/>
    </row>
    <row r="271" spans="2:12">
      <c r="B271" s="99"/>
      <c r="C271" s="99"/>
      <c r="D271" s="99"/>
      <c r="E271" s="99"/>
      <c r="F271" s="99"/>
      <c r="G271" s="99"/>
      <c r="H271" s="99"/>
      <c r="I271" s="99"/>
      <c r="J271" s="99"/>
      <c r="K271" s="99"/>
      <c r="L271" s="99"/>
    </row>
    <row r="272" spans="2:12">
      <c r="B272" s="99"/>
      <c r="C272" s="99"/>
      <c r="D272" s="99"/>
      <c r="E272" s="99"/>
      <c r="F272" s="99"/>
      <c r="G272" s="99"/>
      <c r="H272" s="99"/>
      <c r="I272" s="99"/>
      <c r="J272" s="99"/>
      <c r="K272" s="99"/>
      <c r="L272" s="99"/>
    </row>
    <row r="273" spans="2:12">
      <c r="B273" s="99"/>
      <c r="C273" s="99"/>
      <c r="D273" s="99"/>
      <c r="E273" s="99"/>
      <c r="F273" s="99"/>
      <c r="G273" s="99"/>
      <c r="H273" s="99"/>
      <c r="I273" s="99"/>
      <c r="J273" s="99"/>
      <c r="K273" s="99"/>
      <c r="L273" s="99"/>
    </row>
    <row r="274" spans="2:12">
      <c r="B274" s="99"/>
      <c r="C274" s="99"/>
      <c r="D274" s="99"/>
      <c r="E274" s="99"/>
      <c r="F274" s="99"/>
      <c r="G274" s="99"/>
      <c r="H274" s="99"/>
      <c r="I274" s="99"/>
      <c r="J274" s="99"/>
      <c r="K274" s="99"/>
      <c r="L274" s="99"/>
    </row>
    <row r="275" spans="2:12">
      <c r="B275" s="99"/>
      <c r="C275" s="99"/>
      <c r="D275" s="99"/>
      <c r="E275" s="99"/>
      <c r="F275" s="99"/>
      <c r="G275" s="99"/>
      <c r="H275" s="99"/>
      <c r="I275" s="99"/>
      <c r="J275" s="99"/>
      <c r="K275" s="99"/>
      <c r="L275" s="99"/>
    </row>
    <row r="276" spans="2:12">
      <c r="B276" s="99"/>
      <c r="C276" s="99"/>
      <c r="D276" s="99"/>
      <c r="E276" s="99"/>
      <c r="F276" s="99"/>
      <c r="G276" s="99"/>
      <c r="H276" s="99"/>
      <c r="I276" s="99"/>
      <c r="J276" s="99"/>
      <c r="K276" s="99"/>
      <c r="L276" s="99"/>
    </row>
    <row r="277" spans="2:12">
      <c r="B277" s="99"/>
      <c r="C277" s="99"/>
      <c r="D277" s="99"/>
      <c r="E277" s="99"/>
      <c r="F277" s="99"/>
      <c r="G277" s="99"/>
      <c r="H277" s="99"/>
      <c r="I277" s="99"/>
      <c r="J277" s="99"/>
      <c r="K277" s="99"/>
      <c r="L277" s="99"/>
    </row>
    <row r="278" spans="2:12">
      <c r="B278" s="99"/>
      <c r="C278" s="99"/>
      <c r="D278" s="99"/>
      <c r="E278" s="99"/>
      <c r="F278" s="99"/>
      <c r="G278" s="99"/>
      <c r="H278" s="99"/>
      <c r="I278" s="99"/>
      <c r="J278" s="99"/>
      <c r="K278" s="99"/>
      <c r="L278" s="99"/>
    </row>
    <row r="279" spans="2:12">
      <c r="B279" s="99"/>
      <c r="C279" s="99"/>
      <c r="D279" s="99"/>
      <c r="E279" s="99"/>
      <c r="F279" s="99"/>
      <c r="G279" s="99"/>
      <c r="H279" s="99"/>
      <c r="I279" s="99"/>
      <c r="J279" s="99"/>
      <c r="K279" s="99"/>
      <c r="L279" s="99"/>
    </row>
    <row r="280" spans="2:12">
      <c r="B280" s="99"/>
      <c r="C280" s="99"/>
      <c r="D280" s="99"/>
      <c r="E280" s="99"/>
      <c r="F280" s="99"/>
      <c r="G280" s="99"/>
      <c r="H280" s="99"/>
      <c r="I280" s="99"/>
      <c r="J280" s="99"/>
      <c r="K280" s="99"/>
      <c r="L280" s="99"/>
    </row>
    <row r="281" spans="2:12">
      <c r="B281" s="99"/>
      <c r="C281" s="99"/>
      <c r="D281" s="99"/>
      <c r="E281" s="99"/>
      <c r="F281" s="99"/>
      <c r="G281" s="99"/>
      <c r="H281" s="99"/>
      <c r="I281" s="99"/>
      <c r="J281" s="99"/>
      <c r="K281" s="99"/>
      <c r="L281" s="99"/>
    </row>
    <row r="282" spans="2:12">
      <c r="B282" s="99"/>
      <c r="C282" s="99"/>
      <c r="D282" s="99"/>
      <c r="E282" s="99"/>
      <c r="F282" s="99"/>
      <c r="G282" s="99"/>
      <c r="H282" s="99"/>
      <c r="I282" s="99"/>
      <c r="J282" s="99"/>
      <c r="K282" s="99"/>
      <c r="L282" s="99"/>
    </row>
    <row r="283" spans="2:12">
      <c r="B283" s="99"/>
      <c r="C283" s="99"/>
      <c r="D283" s="99"/>
      <c r="E283" s="99"/>
      <c r="F283" s="99"/>
      <c r="G283" s="99"/>
      <c r="H283" s="99"/>
      <c r="I283" s="99"/>
      <c r="J283" s="99"/>
      <c r="K283" s="99"/>
      <c r="L283" s="99"/>
    </row>
    <row r="284" spans="2:12">
      <c r="B284" s="99"/>
      <c r="C284" s="99"/>
      <c r="D284" s="99"/>
      <c r="E284" s="99"/>
      <c r="F284" s="99"/>
      <c r="G284" s="99"/>
      <c r="H284" s="99"/>
      <c r="I284" s="99"/>
      <c r="J284" s="99"/>
      <c r="K284" s="99"/>
      <c r="L284" s="99"/>
    </row>
    <row r="285" spans="2:12">
      <c r="B285" s="99"/>
      <c r="C285" s="99"/>
      <c r="D285" s="99"/>
      <c r="E285" s="99"/>
      <c r="F285" s="99"/>
      <c r="G285" s="99"/>
      <c r="H285" s="99"/>
      <c r="I285" s="99"/>
      <c r="J285" s="99"/>
      <c r="K285" s="99"/>
      <c r="L285" s="99"/>
    </row>
    <row r="286" spans="2:12">
      <c r="B286" s="99"/>
      <c r="C286" s="99"/>
      <c r="D286" s="99"/>
      <c r="E286" s="99"/>
      <c r="F286" s="99"/>
      <c r="G286" s="99"/>
      <c r="H286" s="99"/>
      <c r="I286" s="99"/>
      <c r="J286" s="99"/>
      <c r="K286" s="99"/>
      <c r="L286" s="99"/>
    </row>
    <row r="287" spans="2:12">
      <c r="B287" s="99"/>
      <c r="C287" s="99"/>
      <c r="D287" s="99"/>
      <c r="E287" s="99"/>
      <c r="F287" s="99"/>
      <c r="G287" s="99"/>
      <c r="H287" s="99"/>
      <c r="I287" s="99"/>
      <c r="J287" s="99"/>
      <c r="K287" s="99"/>
      <c r="L287" s="99"/>
    </row>
    <row r="288" spans="2:12">
      <c r="B288" s="99"/>
      <c r="C288" s="99"/>
      <c r="D288" s="99"/>
      <c r="E288" s="99"/>
      <c r="F288" s="99"/>
      <c r="G288" s="99"/>
      <c r="H288" s="99"/>
      <c r="I288" s="99"/>
      <c r="J288" s="99"/>
      <c r="K288" s="99"/>
      <c r="L288" s="99"/>
    </row>
    <row r="289" spans="2:12">
      <c r="B289" s="99"/>
      <c r="C289" s="99"/>
      <c r="D289" s="99"/>
      <c r="E289" s="99"/>
      <c r="F289" s="99"/>
      <c r="G289" s="99"/>
      <c r="H289" s="99"/>
      <c r="I289" s="99"/>
      <c r="J289" s="99"/>
      <c r="K289" s="99"/>
      <c r="L289" s="99"/>
    </row>
    <row r="290" spans="2:12">
      <c r="B290" s="99"/>
      <c r="C290" s="99"/>
      <c r="D290" s="99"/>
      <c r="E290" s="99"/>
      <c r="F290" s="99"/>
      <c r="G290" s="99"/>
      <c r="H290" s="99"/>
      <c r="I290" s="99"/>
      <c r="J290" s="99"/>
      <c r="K290" s="99"/>
      <c r="L290" s="99"/>
    </row>
    <row r="291" spans="2:12">
      <c r="B291" s="99"/>
      <c r="C291" s="99"/>
      <c r="D291" s="99"/>
      <c r="E291" s="99"/>
      <c r="F291" s="99"/>
      <c r="G291" s="99"/>
      <c r="H291" s="99"/>
      <c r="I291" s="99"/>
      <c r="J291" s="99"/>
      <c r="K291" s="99"/>
      <c r="L291" s="99"/>
    </row>
    <row r="292" spans="2:12">
      <c r="B292" s="99"/>
      <c r="C292" s="99"/>
      <c r="D292" s="99"/>
      <c r="E292" s="99"/>
      <c r="F292" s="99"/>
      <c r="G292" s="99"/>
      <c r="H292" s="99"/>
      <c r="I292" s="99"/>
      <c r="J292" s="99"/>
      <c r="K292" s="99"/>
      <c r="L292" s="99"/>
    </row>
    <row r="293" spans="2:12">
      <c r="B293" s="99"/>
      <c r="C293" s="99"/>
      <c r="D293" s="99"/>
      <c r="E293" s="99"/>
      <c r="F293" s="99"/>
      <c r="G293" s="99"/>
      <c r="H293" s="99"/>
      <c r="I293" s="99"/>
      <c r="J293" s="99"/>
      <c r="K293" s="99"/>
      <c r="L293" s="99"/>
    </row>
    <row r="294" spans="2:12">
      <c r="B294" s="99"/>
      <c r="C294" s="99"/>
      <c r="D294" s="99"/>
      <c r="E294" s="99"/>
      <c r="F294" s="99"/>
      <c r="G294" s="99"/>
      <c r="H294" s="99"/>
      <c r="I294" s="99"/>
      <c r="J294" s="99"/>
      <c r="K294" s="99"/>
      <c r="L294" s="99"/>
    </row>
    <row r="295" spans="2:12">
      <c r="B295" s="99"/>
      <c r="C295" s="99"/>
      <c r="D295" s="99"/>
      <c r="E295" s="99"/>
      <c r="F295" s="99"/>
      <c r="G295" s="99"/>
      <c r="H295" s="99"/>
      <c r="I295" s="99"/>
      <c r="J295" s="99"/>
      <c r="K295" s="99"/>
      <c r="L295" s="99"/>
    </row>
    <row r="296" spans="2:12">
      <c r="B296" s="99"/>
      <c r="C296" s="99"/>
      <c r="D296" s="99"/>
      <c r="E296" s="99"/>
      <c r="F296" s="99"/>
      <c r="G296" s="99"/>
      <c r="H296" s="99"/>
      <c r="I296" s="99"/>
      <c r="J296" s="99"/>
      <c r="K296" s="99"/>
      <c r="L296" s="99"/>
    </row>
    <row r="297" spans="2:12">
      <c r="B297" s="99"/>
      <c r="C297" s="99"/>
      <c r="D297" s="99"/>
      <c r="E297" s="99"/>
      <c r="F297" s="99"/>
      <c r="G297" s="99"/>
      <c r="H297" s="99"/>
      <c r="I297" s="99"/>
      <c r="J297" s="99"/>
      <c r="K297" s="99"/>
      <c r="L297" s="99"/>
    </row>
    <row r="298" spans="2:12">
      <c r="B298" s="99"/>
      <c r="C298" s="99"/>
      <c r="D298" s="99"/>
      <c r="E298" s="99"/>
      <c r="F298" s="99"/>
      <c r="G298" s="99"/>
      <c r="H298" s="99"/>
      <c r="I298" s="99"/>
      <c r="J298" s="99"/>
      <c r="K298" s="99"/>
      <c r="L298" s="99"/>
    </row>
    <row r="299" spans="2:12">
      <c r="B299" s="99"/>
      <c r="C299" s="99"/>
      <c r="D299" s="99"/>
      <c r="E299" s="99"/>
      <c r="F299" s="99"/>
      <c r="G299" s="99"/>
      <c r="H299" s="99"/>
      <c r="I299" s="99"/>
      <c r="J299" s="99"/>
      <c r="K299" s="99"/>
      <c r="L299" s="99"/>
    </row>
    <row r="300" spans="2:12">
      <c r="B300" s="99"/>
      <c r="C300" s="99"/>
      <c r="D300" s="99"/>
      <c r="E300" s="99"/>
      <c r="F300" s="99"/>
      <c r="G300" s="99"/>
      <c r="H300" s="99"/>
      <c r="I300" s="99"/>
      <c r="J300" s="99"/>
      <c r="K300" s="99"/>
      <c r="L300" s="99"/>
    </row>
    <row r="1048570" spans="16370:16384">
      <c r="XEP1048570" s="123" t="s">
        <v>49</v>
      </c>
      <c r="XEQ1048570" s="123"/>
      <c r="XER1048570" s="123"/>
      <c r="XES1048570" s="123"/>
      <c r="XET1048570" s="123"/>
      <c r="XEU1048570" s="123"/>
      <c r="XEV1048570" s="123"/>
      <c r="XEW1048570" s="123"/>
      <c r="XEX1048570" s="123"/>
      <c r="XEY1048570" s="123"/>
      <c r="XEZ1048570" s="123"/>
      <c r="XFA1048570" s="123"/>
      <c r="XFB1048570" s="123"/>
      <c r="XFC1048570" s="123"/>
      <c r="XFD1048570" s="123"/>
    </row>
    <row r="1048571" spans="16370:16384">
      <c r="XEP1048571" s="123"/>
      <c r="XEQ1048571" s="123"/>
      <c r="XER1048571" s="123"/>
      <c r="XES1048571" s="123"/>
      <c r="XET1048571" s="123"/>
      <c r="XEU1048571" s="123"/>
      <c r="XEV1048571" s="123"/>
      <c r="XEW1048571" s="123"/>
      <c r="XEX1048571" s="123"/>
      <c r="XEY1048571" s="123"/>
      <c r="XEZ1048571" s="123"/>
      <c r="XFA1048571" s="123"/>
      <c r="XFB1048571" s="123"/>
      <c r="XFC1048571" s="123"/>
      <c r="XFD1048571" s="123"/>
    </row>
    <row r="1048572" spans="16370:16384">
      <c r="XEP1048572" s="123"/>
      <c r="XEQ1048572" s="123"/>
      <c r="XER1048572" s="123"/>
      <c r="XES1048572" s="123"/>
      <c r="XET1048572" s="123"/>
      <c r="XEU1048572" s="123"/>
      <c r="XEV1048572" s="123"/>
      <c r="XEW1048572" s="123"/>
      <c r="XEX1048572" s="123"/>
      <c r="XEY1048572" s="123"/>
      <c r="XEZ1048572" s="123"/>
      <c r="XFA1048572" s="123"/>
      <c r="XFB1048572" s="123"/>
      <c r="XFC1048572" s="123"/>
      <c r="XFD1048572" s="123"/>
    </row>
    <row r="1048573" spans="16370:16384">
      <c r="XEP1048573" s="123"/>
      <c r="XEQ1048573" s="123"/>
      <c r="XER1048573" s="123"/>
      <c r="XES1048573" s="123"/>
      <c r="XET1048573" s="123"/>
      <c r="XEU1048573" s="123"/>
      <c r="XEV1048573" s="123"/>
      <c r="XEW1048573" s="123"/>
      <c r="XEX1048573" s="123"/>
      <c r="XEY1048573" s="123"/>
      <c r="XEZ1048573" s="123"/>
      <c r="XFA1048573" s="123"/>
      <c r="XFB1048573" s="123"/>
      <c r="XFC1048573" s="123"/>
      <c r="XFD1048573" s="123"/>
    </row>
    <row r="1048574" spans="16370:16384">
      <c r="XEP1048574" s="123"/>
      <c r="XEQ1048574" s="123"/>
      <c r="XER1048574" s="123"/>
      <c r="XES1048574" s="123"/>
      <c r="XET1048574" s="123"/>
      <c r="XEU1048574" s="123"/>
      <c r="XEV1048574" s="123"/>
      <c r="XEW1048574" s="123"/>
      <c r="XEX1048574" s="123"/>
      <c r="XEY1048574" s="123"/>
      <c r="XEZ1048574" s="123"/>
      <c r="XFA1048574" s="123"/>
      <c r="XFB1048574" s="123"/>
      <c r="XFC1048574" s="123"/>
      <c r="XFD1048574" s="123"/>
    </row>
    <row r="1048575" spans="16370:16384">
      <c r="XEP1048575" s="123"/>
      <c r="XEQ1048575" s="123"/>
      <c r="XER1048575" s="123"/>
      <c r="XES1048575" s="123"/>
      <c r="XET1048575" s="123"/>
      <c r="XEU1048575" s="123"/>
      <c r="XEV1048575" s="123"/>
      <c r="XEW1048575" s="123"/>
      <c r="XEX1048575" s="123"/>
      <c r="XEY1048575" s="123"/>
      <c r="XEZ1048575" s="123"/>
      <c r="XFA1048575" s="123"/>
      <c r="XFB1048575" s="123"/>
      <c r="XFC1048575" s="123"/>
      <c r="XFD1048575" s="123"/>
    </row>
    <row r="1048576" spans="16370:16384">
      <c r="XEP1048576" s="123"/>
      <c r="XEQ1048576" s="123"/>
      <c r="XER1048576" s="123"/>
      <c r="XES1048576" s="123"/>
      <c r="XET1048576" s="123"/>
      <c r="XEU1048576" s="123"/>
      <c r="XEV1048576" s="123"/>
      <c r="XEW1048576" s="123"/>
      <c r="XEX1048576" s="123"/>
      <c r="XEY1048576" s="123"/>
      <c r="XEZ1048576" s="123"/>
      <c r="XFA1048576" s="123"/>
      <c r="XFB1048576" s="123"/>
      <c r="XFC1048576" s="123"/>
      <c r="XFD1048576" s="123"/>
    </row>
  </sheetData>
  <sheetProtection algorithmName="SHA-512" hashValue="pgWAe0BvcJ4936Vz0/YlNZ9jQv3+LZZ2wi+zHZkh9sCnW61bLlYCiLrPGRC3VM5ZM6b3r93dE1ZIA6UUXXpoUw==" saltValue="nJ8DYKwR7FDHQFfEez4Zfg==" spinCount="100000" sheet="1" objects="1" scenarios="1"/>
  <mergeCells count="11">
    <mergeCell ref="XEP1048570:XFD1048576"/>
    <mergeCell ref="B8:C8"/>
    <mergeCell ref="B9:C9"/>
    <mergeCell ref="B10:C10"/>
    <mergeCell ref="B11:C11"/>
    <mergeCell ref="B7:C7"/>
    <mergeCell ref="A1:L1"/>
    <mergeCell ref="B3:C3"/>
    <mergeCell ref="B4:C4"/>
    <mergeCell ref="B5:C5"/>
    <mergeCell ref="B6:C6"/>
  </mergeCells>
  <phoneticPr fontId="2" type="noConversion"/>
  <conditionalFormatting sqref="A16:B300 E16:F300 I16:J300">
    <cfRule type="expression" dxfId="92" priority="25">
      <formula>COUNTA($A16)</formula>
    </cfRule>
  </conditionalFormatting>
  <conditionalFormatting sqref="A16:L300">
    <cfRule type="expression" dxfId="91" priority="11">
      <formula>OR(AND($A16="Multiple Choice",(SUM(COUNTIF($D16,"Yes"),COUNTIF($F16,"Yes"),COUNTIF($H16,"Yes"),COUNTIF($J16,"Yes"),COUNTIF($L16,"Yes")))&lt;2),AND($A16="Single Choice",(SUM(COUNTIF($D16,"Yes"),COUNTIF($F16,"Yes"),COUNTIF($H16,"Yes"),COUNTIF($J16,"Yes"),COUNTIF($L16,"Yes")))&lt;&gt;1),AND($A16="True/False",(SUM(COUNTIF($D16,"Yes"),COUNTIF($F16,"Yes"),COUNTIF($H16,"Yes"),COUNTIF($J16,"Yes"),COUNTIF($L16,"Yes")))&lt;&gt;1))</formula>
    </cfRule>
  </conditionalFormatting>
  <conditionalFormatting sqref="B16:B300">
    <cfRule type="duplicateValues" dxfId="90" priority="99"/>
  </conditionalFormatting>
  <conditionalFormatting sqref="B3:C3">
    <cfRule type="expression" dxfId="89" priority="12">
      <formula>LEN($B$3)&gt;80</formula>
    </cfRule>
  </conditionalFormatting>
  <conditionalFormatting sqref="B5:C5">
    <cfRule type="expression" dxfId="88" priority="13">
      <formula>LEN($B$5)&gt;255</formula>
    </cfRule>
  </conditionalFormatting>
  <conditionalFormatting sqref="B16:C300 E16:E300 G16:G300 I16:I300 K16:K300">
    <cfRule type="expression" dxfId="87" priority="19">
      <formula>LEN(B16)&gt;255</formula>
    </cfRule>
  </conditionalFormatting>
  <conditionalFormatting sqref="C16:D300 G16:H300 K16:L300">
    <cfRule type="expression" dxfId="86" priority="22">
      <formula>COUNTA($A16)</formula>
    </cfRule>
  </conditionalFormatting>
  <conditionalFormatting sqref="D16:D300">
    <cfRule type="expression" dxfId="85" priority="5">
      <formula>AND(COUNTA($D16),ISBLANK($C16))</formula>
    </cfRule>
    <cfRule type="expression" dxfId="84" priority="10">
      <formula>AND(COUNTA($C16),ISBLANK($D16))</formula>
    </cfRule>
  </conditionalFormatting>
  <conditionalFormatting sqref="F16:F300">
    <cfRule type="expression" dxfId="83" priority="4">
      <formula>AND(COUNTA($F16),ISBLANK($E16))</formula>
    </cfRule>
    <cfRule type="expression" dxfId="82" priority="9">
      <formula>AND(COUNTA($E16),ISBLANK($F16))</formula>
    </cfRule>
  </conditionalFormatting>
  <conditionalFormatting sqref="H16:H200">
    <cfRule type="expression" dxfId="81" priority="3">
      <formula>AND(COUNTA($H16),ISBLANK($G16))</formula>
    </cfRule>
  </conditionalFormatting>
  <conditionalFormatting sqref="H16:H300">
    <cfRule type="expression" dxfId="80" priority="8">
      <formula>AND(COUNTA($G16),ISBLANK($H16))</formula>
    </cfRule>
  </conditionalFormatting>
  <conditionalFormatting sqref="J16:J300">
    <cfRule type="expression" dxfId="79" priority="2">
      <formula>AND(COUNTA($J16),ISBLANK($I16))</formula>
    </cfRule>
    <cfRule type="expression" dxfId="78" priority="7">
      <formula>AND(COUNTA($I16),ISBLANK($J16))</formula>
    </cfRule>
  </conditionalFormatting>
  <conditionalFormatting sqref="L16:L300">
    <cfRule type="expression" dxfId="77" priority="1">
      <formula>AND(COUNTA($L16),ISBLANK($K16))</formula>
    </cfRule>
    <cfRule type="expression" dxfId="76" priority="6">
      <formula>AND(COUNTA($K16),ISBLANK($L16))</formula>
    </cfRule>
  </conditionalFormatting>
  <dataValidations count="3">
    <dataValidation type="textLength" errorStyle="warning" allowBlank="1" showInputMessage="1" showErrorMessage="1" errorTitle="Check Quiz Title" error="Quiz Title exceeds the max character limit of 80. Kindly edit." sqref="B4 B6:B8 B10:B11" xr:uid="{F54701A2-92EC-45FD-916E-C1CBC70A971D}">
      <formula1>0</formula1>
      <formula2>80</formula2>
    </dataValidation>
    <dataValidation type="whole" errorStyle="warning" allowBlank="1" showInputMessage="1" showErrorMessage="1" errorTitle="Check Duration" error="Duration is in minutes and is mandatory. Minimum acceptable value is 1 min." sqref="F3" xr:uid="{5435681B-C517-4954-BB4A-7E346ABBBDBE}">
      <formula1>1</formula1>
      <formula2>999</formula2>
    </dataValidation>
    <dataValidation type="textLength" errorStyle="warning" allowBlank="1" showErrorMessage="1" errorTitle="Check Page Name" error="This name appears on top of Questions and beneath Quiz Title and is mandatory. Default remains 'Page 01'." sqref="B9:C9" xr:uid="{7A5F7FA2-6DE4-45E8-9FDE-FFA8C074676D}">
      <formula1>4</formula1>
      <formula2>80</formula2>
    </dataValidation>
  </dataValidations>
  <hyperlinks>
    <hyperlink ref="K3" r:id="rId1" xr:uid="{E0F07862-4471-44FB-945E-2C482A8619DA}"/>
    <hyperlink ref="A1:L1" r:id="rId2" display="Appinium Quiz Creation Template v1" xr:uid="{8D52C114-02DB-472C-924B-670729FFFD2D}"/>
  </hyperlinks>
  <pageMargins left="0.7" right="0.7" top="0.75" bottom="0.75" header="0.3" footer="0.3"/>
  <pageSetup orientation="portrait" r:id="rId3"/>
  <headerFooter>
    <oddFooter>&amp;R_x000D_&amp;1#&amp;"Calibri"&amp;8&amp;K000000 Cisco Confidential</oddFooter>
  </headerFooter>
  <tableParts count="1">
    <tablePart r:id="rId4"/>
  </tableParts>
  <extLst>
    <ext xmlns:x14="http://schemas.microsoft.com/office/spreadsheetml/2009/9/main" uri="{CCE6A557-97BC-4b89-ADB6-D9C93CAAB3DF}">
      <x14:dataValidations xmlns:xm="http://schemas.microsoft.com/office/excel/2006/main" count="4">
        <x14:dataValidation type="list" allowBlank="1" showInputMessage="1" showErrorMessage="1" xr:uid="{469DE1F6-FDD2-4841-9028-43E12AA1682A}">
          <x14:formula1>
            <xm:f>Input!$A$2:$A$4</xm:f>
          </x14:formula1>
          <xm:sqref>A16:A200</xm:sqref>
        </x14:dataValidation>
        <x14:dataValidation type="list" errorStyle="warning" allowBlank="1" showInputMessage="1" showErrorMessage="1" errorTitle="Use only Drop Down values" error="Language can only be selected from the drop down selection." xr:uid="{257078C2-48EA-44BF-B342-4D896432E9C1}">
          <x14:formula1>
            <xm:f>Input!$E$2:$E$12</xm:f>
          </x14:formula1>
          <xm:sqref>G5</xm:sqref>
        </x14:dataValidation>
        <x14:dataValidation type="list" errorStyle="warning" allowBlank="1" showInputMessage="1" showErrorMessage="1" errorTitle="Incorrect Input" error="Only Drop Down Selection." xr:uid="{90754A47-FAB3-4B7B-A53C-7A99E8AA9DCF}">
          <x14:formula1>
            <xm:f>Input!$G$2:$G$3</xm:f>
          </x14:formula1>
          <xm:sqref>H16:H200 F16:F200 J16:J200 D16:D200 L16:L200</xm:sqref>
        </x14:dataValidation>
        <x14:dataValidation type="list" errorStyle="warning" allowBlank="1" showInputMessage="1" showErrorMessage="1" errorTitle="Select from Drop Down" error="No other value other than drop down." xr:uid="{F41324BA-E976-480C-89C4-C0E2C138DF30}">
          <x14:formula1>
            <xm:f>Input!$C$2:$C$4</xm:f>
          </x14:formula1>
          <xm:sqref>K11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E2B27-525C-4AEA-8D58-539723E735E3}">
  <sheetPr>
    <tabColor rgb="FF00B050"/>
  </sheetPr>
  <dimension ref="A1:J1000"/>
  <sheetViews>
    <sheetView showGridLines="0" zoomScale="98" zoomScaleNormal="98" workbookViewId="0">
      <pane ySplit="1" topLeftCell="A2" activePane="bottomLeft" state="frozen"/>
      <selection pane="bottomLeft" activeCell="B2" sqref="B2"/>
    </sheetView>
  </sheetViews>
  <sheetFormatPr defaultRowHeight="14.45"/>
  <cols>
    <col min="1" max="1" width="28.7109375" customWidth="1"/>
    <col min="2" max="2" width="15.7109375" customWidth="1"/>
    <col min="3" max="3" width="31.28515625" customWidth="1"/>
    <col min="4" max="9" width="34.28515625" customWidth="1"/>
    <col min="10" max="10" width="8.7109375" customWidth="1"/>
    <col min="11" max="11" width="8.85546875" customWidth="1"/>
  </cols>
  <sheetData>
    <row r="1" spans="1:10" s="1" customFormat="1" ht="27" customHeight="1">
      <c r="A1" s="107" t="s">
        <v>50</v>
      </c>
      <c r="B1" s="108" t="s">
        <v>23</v>
      </c>
      <c r="C1" s="107" t="s">
        <v>24</v>
      </c>
      <c r="D1" s="107" t="s">
        <v>51</v>
      </c>
      <c r="E1" s="107" t="s">
        <v>52</v>
      </c>
      <c r="F1" s="107" t="s">
        <v>53</v>
      </c>
      <c r="G1" s="107" t="s">
        <v>54</v>
      </c>
      <c r="H1" s="107" t="s">
        <v>55</v>
      </c>
      <c r="I1" s="107" t="s">
        <v>56</v>
      </c>
      <c r="J1" s="108" t="s">
        <v>57</v>
      </c>
    </row>
    <row r="2" spans="1:10" ht="27" customHeight="1">
      <c r="A2" s="29" t="s">
        <v>58</v>
      </c>
      <c r="B2" s="98" t="str">
        <f>IF(ISBLANK($C2),"","MCQ")</f>
        <v>MCQ</v>
      </c>
      <c r="C2" s="29" t="s">
        <v>59</v>
      </c>
      <c r="D2" s="29" t="s">
        <v>60</v>
      </c>
      <c r="E2" s="29" t="s">
        <v>61</v>
      </c>
      <c r="F2" s="29" t="s">
        <v>62</v>
      </c>
      <c r="G2" s="29" t="s">
        <v>63</v>
      </c>
      <c r="H2" s="29" t="s">
        <v>64</v>
      </c>
      <c r="I2" s="29" t="s">
        <v>65</v>
      </c>
      <c r="J2" s="98" cm="1">
        <f t="array" ref="J2">IF(ISBLANK($C2),"",SUMPRODUCT(--(LEFT(D2:I2, 1) = "*"))*50)</f>
        <v>50</v>
      </c>
    </row>
    <row r="3" spans="1:10" ht="27" customHeight="1">
      <c r="A3" s="29"/>
      <c r="B3" s="98" t="str">
        <f t="shared" ref="B3:B66" si="0">IF(ISBLANK($C3),"","MCQ")</f>
        <v/>
      </c>
      <c r="C3" s="29"/>
      <c r="D3" s="29"/>
      <c r="E3" s="29"/>
      <c r="F3" s="29"/>
      <c r="G3" s="29"/>
      <c r="H3" s="29"/>
      <c r="I3" s="29"/>
      <c r="J3" s="98" t="str" cm="1">
        <f t="array" ref="J3">IF(ISBLANK($C3),"",SUMPRODUCT(--(LEFT(D3:I3, 1) = "*"))*50)</f>
        <v/>
      </c>
    </row>
    <row r="4" spans="1:10" ht="27" customHeight="1">
      <c r="A4" s="29"/>
      <c r="B4" s="98" t="str">
        <f t="shared" si="0"/>
        <v/>
      </c>
      <c r="C4" s="29"/>
      <c r="D4" s="29"/>
      <c r="E4" s="29"/>
      <c r="F4" s="29"/>
      <c r="G4" s="29"/>
      <c r="H4" s="29"/>
      <c r="I4" s="29"/>
      <c r="J4" s="98" t="str" cm="1">
        <f t="array" ref="J4">IF(ISBLANK($C4),"",SUMPRODUCT(--(LEFT(D4:I4, 1) = "*"))*50)</f>
        <v/>
      </c>
    </row>
    <row r="5" spans="1:10" ht="27" customHeight="1">
      <c r="A5" s="29"/>
      <c r="B5" s="98" t="str">
        <f t="shared" si="0"/>
        <v/>
      </c>
      <c r="C5" s="29"/>
      <c r="D5" s="29"/>
      <c r="E5" s="29"/>
      <c r="F5" s="29"/>
      <c r="G5" s="29"/>
      <c r="H5" s="29"/>
      <c r="I5" s="29"/>
      <c r="J5" s="98" t="str" cm="1">
        <f t="array" ref="J5">IF(ISBLANK($C5),"",SUMPRODUCT(--(LEFT(D5:I5, 1) = "*"))*50)</f>
        <v/>
      </c>
    </row>
    <row r="6" spans="1:10" ht="27" customHeight="1">
      <c r="A6" s="29"/>
      <c r="B6" s="98" t="str">
        <f t="shared" si="0"/>
        <v/>
      </c>
      <c r="C6" s="29"/>
      <c r="D6" s="29"/>
      <c r="E6" s="29"/>
      <c r="F6" s="29"/>
      <c r="G6" s="29"/>
      <c r="H6" s="29"/>
      <c r="I6" s="29"/>
      <c r="J6" s="98" t="str" cm="1">
        <f t="array" ref="J6">IF(ISBLANK($C6),"",SUMPRODUCT(--(LEFT(D6:I6, 1) = "*"))*50)</f>
        <v/>
      </c>
    </row>
    <row r="7" spans="1:10" ht="27" customHeight="1">
      <c r="A7" s="29"/>
      <c r="B7" s="98" t="str">
        <f t="shared" si="0"/>
        <v/>
      </c>
      <c r="C7" s="29"/>
      <c r="D7" s="29"/>
      <c r="E7" s="29"/>
      <c r="F7" s="29"/>
      <c r="G7" s="29"/>
      <c r="H7" s="29"/>
      <c r="I7" s="29"/>
      <c r="J7" s="98" t="str" cm="1">
        <f t="array" ref="J7">IF(ISBLANK($C7),"",SUMPRODUCT(--(LEFT(D7:I7, 1) = "*"))*50)</f>
        <v/>
      </c>
    </row>
    <row r="8" spans="1:10" ht="27" customHeight="1">
      <c r="A8" s="29"/>
      <c r="B8" s="98" t="str">
        <f t="shared" si="0"/>
        <v/>
      </c>
      <c r="C8" s="29"/>
      <c r="D8" s="29"/>
      <c r="E8" s="29"/>
      <c r="F8" s="29"/>
      <c r="G8" s="29"/>
      <c r="H8" s="29"/>
      <c r="I8" s="29"/>
      <c r="J8" s="98" t="str" cm="1">
        <f t="array" ref="J8">IF(ISBLANK($C8),"",SUMPRODUCT(--(LEFT(D8:I8, 1) = "*"))*50)</f>
        <v/>
      </c>
    </row>
    <row r="9" spans="1:10" ht="27" customHeight="1">
      <c r="A9" s="29"/>
      <c r="B9" s="98" t="str">
        <f t="shared" si="0"/>
        <v/>
      </c>
      <c r="C9" s="29"/>
      <c r="D9" s="29"/>
      <c r="E9" s="29"/>
      <c r="F9" s="29"/>
      <c r="G9" s="29"/>
      <c r="H9" s="29"/>
      <c r="I9" s="29"/>
      <c r="J9" s="98" t="str" cm="1">
        <f t="array" ref="J9">IF(ISBLANK($C9),"",SUMPRODUCT(--(LEFT(D9:I9, 1) = "*"))*50)</f>
        <v/>
      </c>
    </row>
    <row r="10" spans="1:10" ht="27" customHeight="1">
      <c r="A10" s="29"/>
      <c r="B10" s="98" t="str">
        <f t="shared" si="0"/>
        <v/>
      </c>
      <c r="C10" s="29"/>
      <c r="D10" s="29"/>
      <c r="E10" s="29"/>
      <c r="F10" s="29"/>
      <c r="G10" s="29"/>
      <c r="H10" s="29"/>
      <c r="I10" s="29"/>
      <c r="J10" s="98" t="str" cm="1">
        <f t="array" ref="J10">IF(ISBLANK($C10),"",SUMPRODUCT(--(LEFT(D10:I10, 1) = "*"))*50)</f>
        <v/>
      </c>
    </row>
    <row r="11" spans="1:10" ht="27" customHeight="1">
      <c r="A11" s="29"/>
      <c r="B11" s="98" t="str">
        <f t="shared" si="0"/>
        <v/>
      </c>
      <c r="C11" s="29"/>
      <c r="D11" s="29"/>
      <c r="E11" s="29"/>
      <c r="F11" s="29"/>
      <c r="G11" s="29"/>
      <c r="H11" s="29"/>
      <c r="I11" s="29"/>
      <c r="J11" s="98" t="str" cm="1">
        <f t="array" ref="J11">IF(ISBLANK($C11),"",SUMPRODUCT(--(LEFT(D11:I11, 1) = "*"))*50)</f>
        <v/>
      </c>
    </row>
    <row r="12" spans="1:10" ht="27" customHeight="1">
      <c r="A12" s="29"/>
      <c r="B12" s="98" t="str">
        <f t="shared" si="0"/>
        <v/>
      </c>
      <c r="C12" s="29"/>
      <c r="D12" s="29"/>
      <c r="E12" s="29"/>
      <c r="F12" s="29"/>
      <c r="G12" s="29"/>
      <c r="H12" s="29"/>
      <c r="I12" s="29"/>
      <c r="J12" s="98" t="str" cm="1">
        <f t="array" ref="J12">IF(ISBLANK($C12),"",SUMPRODUCT(--(LEFT(D12:I12, 1) = "*"))*50)</f>
        <v/>
      </c>
    </row>
    <row r="13" spans="1:10" ht="27" customHeight="1">
      <c r="A13" s="29"/>
      <c r="B13" s="98" t="str">
        <f t="shared" si="0"/>
        <v/>
      </c>
      <c r="C13" s="29"/>
      <c r="D13" s="29"/>
      <c r="E13" s="29"/>
      <c r="F13" s="29"/>
      <c r="G13" s="29"/>
      <c r="H13" s="29"/>
      <c r="I13" s="29"/>
      <c r="J13" s="98" t="str" cm="1">
        <f t="array" ref="J13">IF(ISBLANK($C13),"",SUMPRODUCT(--(LEFT(D13:I13, 1) = "*"))*50)</f>
        <v/>
      </c>
    </row>
    <row r="14" spans="1:10" ht="27" customHeight="1">
      <c r="A14" s="29"/>
      <c r="B14" s="98" t="str">
        <f t="shared" si="0"/>
        <v/>
      </c>
      <c r="C14" s="29"/>
      <c r="D14" s="29"/>
      <c r="E14" s="29"/>
      <c r="F14" s="29"/>
      <c r="G14" s="29"/>
      <c r="H14" s="29"/>
      <c r="I14" s="29"/>
      <c r="J14" s="98" t="str" cm="1">
        <f t="array" ref="J14">IF(ISBLANK($C14),"",SUMPRODUCT(--(LEFT(D14:I14, 1) = "*"))*50)</f>
        <v/>
      </c>
    </row>
    <row r="15" spans="1:10" ht="27" customHeight="1">
      <c r="A15" s="29"/>
      <c r="B15" s="98" t="str">
        <f t="shared" si="0"/>
        <v/>
      </c>
      <c r="C15" s="29"/>
      <c r="D15" s="29"/>
      <c r="E15" s="29"/>
      <c r="F15" s="29"/>
      <c r="G15" s="29"/>
      <c r="H15" s="29"/>
      <c r="I15" s="29"/>
      <c r="J15" s="98" t="str" cm="1">
        <f t="array" ref="J15">IF(ISBLANK($C15),"",SUMPRODUCT(--(LEFT(D15:I15, 1) = "*"))*50)</f>
        <v/>
      </c>
    </row>
    <row r="16" spans="1:10" ht="27" customHeight="1">
      <c r="A16" s="29"/>
      <c r="B16" s="98" t="str">
        <f t="shared" si="0"/>
        <v/>
      </c>
      <c r="C16" s="29"/>
      <c r="D16" s="29"/>
      <c r="E16" s="29"/>
      <c r="F16" s="29"/>
      <c r="G16" s="29"/>
      <c r="H16" s="29"/>
      <c r="I16" s="29"/>
      <c r="J16" s="98" t="str" cm="1">
        <f t="array" ref="J16">IF(ISBLANK($C16),"",SUMPRODUCT(--(LEFT(D16:I16, 1) = "*"))*50)</f>
        <v/>
      </c>
    </row>
    <row r="17" spans="1:10" ht="27" customHeight="1">
      <c r="A17" s="29"/>
      <c r="B17" s="98" t="str">
        <f t="shared" si="0"/>
        <v/>
      </c>
      <c r="C17" s="29"/>
      <c r="D17" s="29"/>
      <c r="E17" s="29"/>
      <c r="F17" s="29"/>
      <c r="G17" s="29"/>
      <c r="H17" s="29"/>
      <c r="I17" s="29"/>
      <c r="J17" s="98" t="str" cm="1">
        <f t="array" ref="J17">IF(ISBLANK($C17),"",SUMPRODUCT(--(LEFT(D17:I17, 1) = "*"))*50)</f>
        <v/>
      </c>
    </row>
    <row r="18" spans="1:10" ht="27" customHeight="1">
      <c r="A18" s="29"/>
      <c r="B18" s="98" t="str">
        <f t="shared" si="0"/>
        <v/>
      </c>
      <c r="C18" s="29"/>
      <c r="D18" s="29"/>
      <c r="E18" s="29"/>
      <c r="F18" s="29"/>
      <c r="G18" s="29"/>
      <c r="H18" s="29"/>
      <c r="I18" s="29"/>
      <c r="J18" s="98" t="str" cm="1">
        <f t="array" ref="J18">IF(ISBLANK($C18),"",SUMPRODUCT(--(LEFT(D18:I18, 1) = "*"))*50)</f>
        <v/>
      </c>
    </row>
    <row r="19" spans="1:10" ht="27" customHeight="1">
      <c r="A19" s="29"/>
      <c r="B19" s="98" t="str">
        <f t="shared" si="0"/>
        <v/>
      </c>
      <c r="C19" s="29"/>
      <c r="D19" s="29"/>
      <c r="E19" s="29"/>
      <c r="F19" s="29"/>
      <c r="G19" s="29"/>
      <c r="H19" s="29"/>
      <c r="I19" s="29"/>
      <c r="J19" s="98" t="str" cm="1">
        <f t="array" ref="J19">IF(ISBLANK($C19),"",SUMPRODUCT(--(LEFT(D19:I19, 1) = "*"))*50)</f>
        <v/>
      </c>
    </row>
    <row r="20" spans="1:10" ht="27" customHeight="1">
      <c r="A20" s="29"/>
      <c r="B20" s="98" t="str">
        <f t="shared" si="0"/>
        <v/>
      </c>
      <c r="C20" s="29"/>
      <c r="D20" s="29"/>
      <c r="E20" s="29"/>
      <c r="F20" s="29"/>
      <c r="G20" s="29"/>
      <c r="H20" s="29"/>
      <c r="I20" s="29"/>
      <c r="J20" s="98" t="str" cm="1">
        <f t="array" ref="J20">IF(ISBLANK($C20),"",SUMPRODUCT(--(LEFT(D20:I20, 1) = "*"))*50)</f>
        <v/>
      </c>
    </row>
    <row r="21" spans="1:10" ht="27" customHeight="1">
      <c r="A21" s="29"/>
      <c r="B21" s="98" t="str">
        <f t="shared" si="0"/>
        <v/>
      </c>
      <c r="C21" s="29"/>
      <c r="D21" s="29"/>
      <c r="E21" s="29"/>
      <c r="F21" s="29"/>
      <c r="G21" s="29"/>
      <c r="H21" s="29"/>
      <c r="I21" s="29"/>
      <c r="J21" s="98" t="str" cm="1">
        <f t="array" ref="J21">IF(ISBLANK($C21),"",SUMPRODUCT(--(LEFT(D21:I21, 1) = "*"))*50)</f>
        <v/>
      </c>
    </row>
    <row r="22" spans="1:10" ht="27" customHeight="1">
      <c r="A22" s="29"/>
      <c r="B22" s="98" t="str">
        <f t="shared" si="0"/>
        <v/>
      </c>
      <c r="C22" s="29"/>
      <c r="D22" s="29"/>
      <c r="E22" s="29"/>
      <c r="F22" s="29"/>
      <c r="G22" s="29"/>
      <c r="H22" s="29"/>
      <c r="I22" s="29"/>
      <c r="J22" s="98" t="str" cm="1">
        <f t="array" ref="J22">IF(ISBLANK($C22),"",SUMPRODUCT(--(LEFT(D22:I22, 1) = "*"))*50)</f>
        <v/>
      </c>
    </row>
    <row r="23" spans="1:10" ht="27" customHeight="1">
      <c r="A23" s="29"/>
      <c r="B23" s="98" t="str">
        <f t="shared" si="0"/>
        <v/>
      </c>
      <c r="C23" s="29"/>
      <c r="D23" s="29"/>
      <c r="E23" s="29"/>
      <c r="F23" s="29"/>
      <c r="G23" s="29"/>
      <c r="H23" s="29"/>
      <c r="I23" s="29"/>
      <c r="J23" s="98" t="str" cm="1">
        <f t="array" ref="J23">IF(ISBLANK($C23),"",SUMPRODUCT(--(LEFT(D23:I23, 1) = "*"))*50)</f>
        <v/>
      </c>
    </row>
    <row r="24" spans="1:10" ht="27" customHeight="1">
      <c r="A24" s="29"/>
      <c r="B24" s="98" t="str">
        <f t="shared" si="0"/>
        <v/>
      </c>
      <c r="C24" s="29"/>
      <c r="D24" s="29"/>
      <c r="E24" s="29"/>
      <c r="F24" s="29"/>
      <c r="G24" s="29"/>
      <c r="H24" s="29"/>
      <c r="I24" s="29"/>
      <c r="J24" s="98" t="str" cm="1">
        <f t="array" ref="J24">IF(ISBLANK($C24),"",SUMPRODUCT(--(LEFT(D24:I24, 1) = "*"))*50)</f>
        <v/>
      </c>
    </row>
    <row r="25" spans="1:10" ht="27" customHeight="1">
      <c r="A25" s="29"/>
      <c r="B25" s="98" t="str">
        <f t="shared" si="0"/>
        <v/>
      </c>
      <c r="C25" s="29"/>
      <c r="D25" s="29"/>
      <c r="E25" s="29"/>
      <c r="F25" s="29"/>
      <c r="G25" s="29"/>
      <c r="H25" s="29"/>
      <c r="I25" s="29"/>
      <c r="J25" s="98" t="str" cm="1">
        <f t="array" ref="J25">IF(ISBLANK($C25),"",SUMPRODUCT(--(LEFT(D25:I25, 1) = "*"))*50)</f>
        <v/>
      </c>
    </row>
    <row r="26" spans="1:10" ht="27" customHeight="1">
      <c r="A26" s="29"/>
      <c r="B26" s="98" t="str">
        <f t="shared" si="0"/>
        <v/>
      </c>
      <c r="C26" s="29"/>
      <c r="D26" s="29"/>
      <c r="E26" s="29"/>
      <c r="F26" s="29"/>
      <c r="G26" s="29"/>
      <c r="H26" s="29"/>
      <c r="I26" s="29"/>
      <c r="J26" s="98" t="str" cm="1">
        <f t="array" ref="J26">IF(ISBLANK($C26),"",SUMPRODUCT(--(LEFT(D26:I26, 1) = "*"))*50)</f>
        <v/>
      </c>
    </row>
    <row r="27" spans="1:10" ht="27" customHeight="1">
      <c r="A27" s="29"/>
      <c r="B27" s="98" t="str">
        <f t="shared" si="0"/>
        <v/>
      </c>
      <c r="C27" s="29"/>
      <c r="D27" s="29"/>
      <c r="E27" s="29"/>
      <c r="F27" s="29"/>
      <c r="G27" s="29"/>
      <c r="H27" s="29"/>
      <c r="I27" s="29"/>
      <c r="J27" s="98" t="str" cm="1">
        <f t="array" ref="J27">IF(ISBLANK($C27),"",SUMPRODUCT(--(LEFT(D27:I27, 1) = "*"))*50)</f>
        <v/>
      </c>
    </row>
    <row r="28" spans="1:10" ht="27" customHeight="1">
      <c r="A28" s="29"/>
      <c r="B28" s="98" t="str">
        <f t="shared" si="0"/>
        <v/>
      </c>
      <c r="C28" s="29"/>
      <c r="D28" s="29"/>
      <c r="E28" s="29"/>
      <c r="F28" s="29"/>
      <c r="G28" s="29"/>
      <c r="H28" s="29"/>
      <c r="I28" s="29"/>
      <c r="J28" s="98" t="str" cm="1">
        <f t="array" ref="J28">IF(ISBLANK($C28),"",SUMPRODUCT(--(LEFT(D28:I28, 1) = "*"))*50)</f>
        <v/>
      </c>
    </row>
    <row r="29" spans="1:10" ht="27" customHeight="1">
      <c r="A29" s="29"/>
      <c r="B29" s="98" t="str">
        <f t="shared" si="0"/>
        <v/>
      </c>
      <c r="C29" s="29"/>
      <c r="D29" s="29"/>
      <c r="E29" s="29"/>
      <c r="F29" s="29"/>
      <c r="G29" s="29"/>
      <c r="H29" s="29"/>
      <c r="I29" s="29"/>
      <c r="J29" s="98" t="str" cm="1">
        <f t="array" ref="J29">IF(ISBLANK($C29),"",SUMPRODUCT(--(LEFT(D29:I29, 1) = "*"))*50)</f>
        <v/>
      </c>
    </row>
    <row r="30" spans="1:10" ht="27" customHeight="1">
      <c r="A30" s="29"/>
      <c r="B30" s="98" t="str">
        <f t="shared" si="0"/>
        <v/>
      </c>
      <c r="C30" s="29"/>
      <c r="D30" s="29"/>
      <c r="E30" s="29"/>
      <c r="F30" s="29"/>
      <c r="G30" s="29"/>
      <c r="H30" s="29"/>
      <c r="I30" s="29"/>
      <c r="J30" s="98" t="str" cm="1">
        <f t="array" ref="J30">IF(ISBLANK($C30),"",SUMPRODUCT(--(LEFT(D30:I30, 1) = "*"))*50)</f>
        <v/>
      </c>
    </row>
    <row r="31" spans="1:10" ht="27" customHeight="1">
      <c r="A31" s="29"/>
      <c r="B31" s="98" t="str">
        <f t="shared" si="0"/>
        <v/>
      </c>
      <c r="C31" s="29"/>
      <c r="D31" s="29"/>
      <c r="E31" s="29"/>
      <c r="F31" s="29"/>
      <c r="G31" s="29"/>
      <c r="H31" s="29"/>
      <c r="I31" s="29"/>
      <c r="J31" s="98" t="str" cm="1">
        <f t="array" ref="J31">IF(ISBLANK($C31),"",SUMPRODUCT(--(LEFT(D31:I31, 1) = "*"))*50)</f>
        <v/>
      </c>
    </row>
    <row r="32" spans="1:10" ht="27" customHeight="1">
      <c r="A32" s="29"/>
      <c r="B32" s="98" t="str">
        <f t="shared" si="0"/>
        <v/>
      </c>
      <c r="C32" s="29"/>
      <c r="D32" s="29"/>
      <c r="E32" s="29"/>
      <c r="F32" s="29"/>
      <c r="G32" s="29"/>
      <c r="H32" s="29"/>
      <c r="I32" s="29"/>
      <c r="J32" s="98" t="str" cm="1">
        <f t="array" ref="J32">IF(ISBLANK($C32),"",SUMPRODUCT(--(LEFT(D32:I32, 1) = "*"))*50)</f>
        <v/>
      </c>
    </row>
    <row r="33" spans="1:10" ht="27" customHeight="1">
      <c r="A33" s="29"/>
      <c r="B33" s="98" t="str">
        <f t="shared" si="0"/>
        <v/>
      </c>
      <c r="C33" s="29"/>
      <c r="D33" s="29"/>
      <c r="E33" s="29"/>
      <c r="F33" s="29"/>
      <c r="G33" s="29"/>
      <c r="H33" s="29"/>
      <c r="I33" s="29"/>
      <c r="J33" s="98" t="str" cm="1">
        <f t="array" ref="J33">IF(ISBLANK($C33),"",SUMPRODUCT(--(LEFT(D33:I33, 1) = "*"))*50)</f>
        <v/>
      </c>
    </row>
    <row r="34" spans="1:10" ht="27" customHeight="1">
      <c r="A34" s="29"/>
      <c r="B34" s="98" t="str">
        <f t="shared" si="0"/>
        <v/>
      </c>
      <c r="C34" s="29"/>
      <c r="D34" s="29"/>
      <c r="E34" s="29"/>
      <c r="F34" s="29"/>
      <c r="G34" s="29"/>
      <c r="H34" s="29"/>
      <c r="I34" s="29"/>
      <c r="J34" s="98" t="str" cm="1">
        <f t="array" ref="J34">IF(ISBLANK($C34),"",SUMPRODUCT(--(LEFT(D34:I34, 1) = "*"))*50)</f>
        <v/>
      </c>
    </row>
    <row r="35" spans="1:10" ht="27" customHeight="1">
      <c r="A35" s="29"/>
      <c r="B35" s="98" t="str">
        <f t="shared" si="0"/>
        <v/>
      </c>
      <c r="C35" s="29"/>
      <c r="D35" s="29"/>
      <c r="E35" s="29"/>
      <c r="F35" s="29"/>
      <c r="G35" s="29"/>
      <c r="H35" s="29"/>
      <c r="I35" s="29"/>
      <c r="J35" s="98" t="str" cm="1">
        <f t="array" ref="J35">IF(ISBLANK($C35),"",SUMPRODUCT(--(LEFT(D35:I35, 1) = "*"))*50)</f>
        <v/>
      </c>
    </row>
    <row r="36" spans="1:10" ht="27" customHeight="1">
      <c r="A36" s="29"/>
      <c r="B36" s="98" t="str">
        <f t="shared" si="0"/>
        <v/>
      </c>
      <c r="C36" s="29"/>
      <c r="D36" s="29"/>
      <c r="E36" s="29"/>
      <c r="F36" s="29"/>
      <c r="G36" s="29"/>
      <c r="H36" s="29"/>
      <c r="I36" s="29"/>
      <c r="J36" s="98" t="str" cm="1">
        <f t="array" ref="J36">IF(ISBLANK($C36),"",SUMPRODUCT(--(LEFT(D36:I36, 1) = "*"))*50)</f>
        <v/>
      </c>
    </row>
    <row r="37" spans="1:10" ht="27" customHeight="1">
      <c r="A37" s="29"/>
      <c r="B37" s="98" t="str">
        <f t="shared" si="0"/>
        <v/>
      </c>
      <c r="C37" s="29"/>
      <c r="D37" s="29"/>
      <c r="E37" s="29"/>
      <c r="F37" s="29"/>
      <c r="G37" s="29"/>
      <c r="H37" s="29"/>
      <c r="I37" s="29"/>
      <c r="J37" s="98" t="str" cm="1">
        <f t="array" ref="J37">IF(ISBLANK($C37),"",SUMPRODUCT(--(LEFT(D37:I37, 1) = "*"))*50)</f>
        <v/>
      </c>
    </row>
    <row r="38" spans="1:10" ht="27" customHeight="1">
      <c r="A38" s="29"/>
      <c r="B38" s="98" t="str">
        <f t="shared" si="0"/>
        <v/>
      </c>
      <c r="C38" s="29"/>
      <c r="D38" s="29"/>
      <c r="E38" s="29"/>
      <c r="F38" s="29"/>
      <c r="G38" s="29"/>
      <c r="H38" s="29"/>
      <c r="I38" s="29"/>
      <c r="J38" s="98" t="str" cm="1">
        <f t="array" ref="J38">IF(ISBLANK($C38),"",SUMPRODUCT(--(LEFT(D38:I38, 1) = "*"))*50)</f>
        <v/>
      </c>
    </row>
    <row r="39" spans="1:10" ht="27" customHeight="1">
      <c r="A39" s="29"/>
      <c r="B39" s="98" t="str">
        <f t="shared" si="0"/>
        <v/>
      </c>
      <c r="C39" s="29"/>
      <c r="D39" s="29"/>
      <c r="E39" s="29"/>
      <c r="F39" s="29"/>
      <c r="G39" s="29"/>
      <c r="H39" s="29"/>
      <c r="I39" s="29"/>
      <c r="J39" s="98" t="str" cm="1">
        <f t="array" ref="J39">IF(ISBLANK($C39),"",SUMPRODUCT(--(LEFT(D39:I39, 1) = "*"))*50)</f>
        <v/>
      </c>
    </row>
    <row r="40" spans="1:10" ht="27" customHeight="1">
      <c r="A40" s="29"/>
      <c r="B40" s="98" t="str">
        <f t="shared" si="0"/>
        <v/>
      </c>
      <c r="C40" s="29"/>
      <c r="D40" s="29"/>
      <c r="E40" s="29"/>
      <c r="F40" s="29"/>
      <c r="G40" s="29"/>
      <c r="H40" s="29"/>
      <c r="I40" s="29"/>
      <c r="J40" s="98" t="str" cm="1">
        <f t="array" ref="J40">IF(ISBLANK($C40),"",SUMPRODUCT(--(LEFT(D40:I40, 1) = "*"))*50)</f>
        <v/>
      </c>
    </row>
    <row r="41" spans="1:10" ht="27" customHeight="1">
      <c r="A41" s="29"/>
      <c r="B41" s="98" t="str">
        <f t="shared" si="0"/>
        <v/>
      </c>
      <c r="C41" s="29"/>
      <c r="D41" s="29"/>
      <c r="E41" s="29"/>
      <c r="F41" s="29"/>
      <c r="G41" s="29"/>
      <c r="H41" s="29"/>
      <c r="I41" s="29"/>
      <c r="J41" s="98" t="str" cm="1">
        <f t="array" ref="J41">IF(ISBLANK($C41),"",SUMPRODUCT(--(LEFT(D41:I41, 1) = "*"))*50)</f>
        <v/>
      </c>
    </row>
    <row r="42" spans="1:10" ht="27" customHeight="1">
      <c r="A42" s="29"/>
      <c r="B42" s="98" t="str">
        <f t="shared" si="0"/>
        <v/>
      </c>
      <c r="C42" s="29"/>
      <c r="D42" s="29"/>
      <c r="E42" s="29"/>
      <c r="F42" s="29"/>
      <c r="G42" s="29"/>
      <c r="H42" s="29"/>
      <c r="I42" s="29"/>
      <c r="J42" s="98" t="str" cm="1">
        <f t="array" ref="J42">IF(ISBLANK($C42),"",SUMPRODUCT(--(LEFT(D42:I42, 1) = "*"))*50)</f>
        <v/>
      </c>
    </row>
    <row r="43" spans="1:10" ht="27" customHeight="1">
      <c r="A43" s="29"/>
      <c r="B43" s="98" t="str">
        <f t="shared" si="0"/>
        <v/>
      </c>
      <c r="C43" s="29"/>
      <c r="D43" s="29"/>
      <c r="E43" s="29"/>
      <c r="F43" s="29"/>
      <c r="G43" s="29"/>
      <c r="H43" s="29"/>
      <c r="I43" s="29"/>
      <c r="J43" s="98" t="str" cm="1">
        <f t="array" ref="J43">IF(ISBLANK($C43),"",SUMPRODUCT(--(LEFT(D43:I43, 1) = "*"))*50)</f>
        <v/>
      </c>
    </row>
    <row r="44" spans="1:10" ht="27" customHeight="1">
      <c r="A44" s="29"/>
      <c r="B44" s="98" t="str">
        <f t="shared" si="0"/>
        <v/>
      </c>
      <c r="C44" s="29"/>
      <c r="D44" s="29"/>
      <c r="E44" s="29"/>
      <c r="F44" s="29"/>
      <c r="G44" s="29"/>
      <c r="H44" s="29"/>
      <c r="I44" s="29"/>
      <c r="J44" s="98" t="str" cm="1">
        <f t="array" ref="J44">IF(ISBLANK($C44),"",SUMPRODUCT(--(LEFT(D44:I44, 1) = "*"))*50)</f>
        <v/>
      </c>
    </row>
    <row r="45" spans="1:10" ht="27" customHeight="1">
      <c r="A45" s="29"/>
      <c r="B45" s="98" t="str">
        <f t="shared" si="0"/>
        <v/>
      </c>
      <c r="C45" s="29"/>
      <c r="D45" s="29"/>
      <c r="E45" s="29"/>
      <c r="F45" s="29"/>
      <c r="G45" s="29"/>
      <c r="H45" s="29"/>
      <c r="I45" s="29"/>
      <c r="J45" s="98" t="str" cm="1">
        <f t="array" ref="J45">IF(ISBLANK($C45),"",SUMPRODUCT(--(LEFT(D45:I45, 1) = "*"))*50)</f>
        <v/>
      </c>
    </row>
    <row r="46" spans="1:10" ht="27" customHeight="1">
      <c r="A46" s="29"/>
      <c r="B46" s="98" t="str">
        <f t="shared" si="0"/>
        <v/>
      </c>
      <c r="C46" s="29"/>
      <c r="D46" s="29"/>
      <c r="E46" s="29"/>
      <c r="F46" s="29"/>
      <c r="G46" s="29"/>
      <c r="H46" s="29"/>
      <c r="I46" s="29"/>
      <c r="J46" s="98" t="str" cm="1">
        <f t="array" ref="J46">IF(ISBLANK($C46),"",SUMPRODUCT(--(LEFT(D46:I46, 1) = "*"))*50)</f>
        <v/>
      </c>
    </row>
    <row r="47" spans="1:10" ht="27" customHeight="1">
      <c r="A47" s="29"/>
      <c r="B47" s="98" t="str">
        <f t="shared" si="0"/>
        <v/>
      </c>
      <c r="C47" s="29"/>
      <c r="D47" s="29"/>
      <c r="E47" s="29"/>
      <c r="F47" s="29"/>
      <c r="G47" s="29"/>
      <c r="H47" s="29"/>
      <c r="I47" s="29"/>
      <c r="J47" s="98" t="str" cm="1">
        <f t="array" ref="J47">IF(ISBLANK($C47),"",SUMPRODUCT(--(LEFT(D47:I47, 1) = "*"))*50)</f>
        <v/>
      </c>
    </row>
    <row r="48" spans="1:10" ht="27" customHeight="1">
      <c r="A48" s="29"/>
      <c r="B48" s="98" t="str">
        <f t="shared" si="0"/>
        <v/>
      </c>
      <c r="C48" s="29"/>
      <c r="D48" s="29"/>
      <c r="E48" s="29"/>
      <c r="F48" s="29"/>
      <c r="G48" s="29"/>
      <c r="H48" s="29"/>
      <c r="I48" s="29"/>
      <c r="J48" s="98" t="str" cm="1">
        <f t="array" ref="J48">IF(ISBLANK($C48),"",SUMPRODUCT(--(LEFT(D48:I48, 1) = "*"))*50)</f>
        <v/>
      </c>
    </row>
    <row r="49" spans="1:10" ht="27" customHeight="1">
      <c r="A49" s="29"/>
      <c r="B49" s="98" t="str">
        <f t="shared" si="0"/>
        <v/>
      </c>
      <c r="C49" s="29"/>
      <c r="D49" s="29"/>
      <c r="E49" s="29"/>
      <c r="F49" s="29"/>
      <c r="G49" s="29"/>
      <c r="H49" s="29"/>
      <c r="I49" s="29"/>
      <c r="J49" s="98" t="str" cm="1">
        <f t="array" ref="J49">IF(ISBLANK($C49),"",SUMPRODUCT(--(LEFT(D49:I49, 1) = "*"))*50)</f>
        <v/>
      </c>
    </row>
    <row r="50" spans="1:10" ht="27" customHeight="1">
      <c r="A50" s="29"/>
      <c r="B50" s="98" t="str">
        <f t="shared" si="0"/>
        <v/>
      </c>
      <c r="C50" s="29"/>
      <c r="D50" s="29"/>
      <c r="E50" s="29"/>
      <c r="F50" s="29"/>
      <c r="G50" s="29"/>
      <c r="H50" s="29"/>
      <c r="I50" s="29"/>
      <c r="J50" s="98" t="str" cm="1">
        <f t="array" ref="J50">IF(ISBLANK($C50),"",SUMPRODUCT(--(LEFT(D50:I50, 1) = "*"))*50)</f>
        <v/>
      </c>
    </row>
    <row r="51" spans="1:10" ht="27" customHeight="1">
      <c r="A51" s="29"/>
      <c r="B51" s="98" t="str">
        <f t="shared" si="0"/>
        <v/>
      </c>
      <c r="C51" s="29"/>
      <c r="D51" s="29"/>
      <c r="E51" s="29"/>
      <c r="F51" s="29"/>
      <c r="G51" s="29"/>
      <c r="H51" s="29"/>
      <c r="I51" s="29"/>
      <c r="J51" s="98" t="str" cm="1">
        <f t="array" ref="J51">IF(ISBLANK($C51),"",SUMPRODUCT(--(LEFT(D51:I51, 1) = "*"))*50)</f>
        <v/>
      </c>
    </row>
    <row r="52" spans="1:10" ht="27" customHeight="1">
      <c r="A52" s="29"/>
      <c r="B52" s="98" t="str">
        <f t="shared" si="0"/>
        <v/>
      </c>
      <c r="C52" s="29"/>
      <c r="D52" s="29"/>
      <c r="E52" s="29"/>
      <c r="F52" s="29"/>
      <c r="G52" s="29"/>
      <c r="H52" s="29"/>
      <c r="I52" s="29"/>
      <c r="J52" s="98" t="str" cm="1">
        <f t="array" ref="J52">IF(ISBLANK($C52),"",SUMPRODUCT(--(LEFT(D52:I52, 1) = "*"))*50)</f>
        <v/>
      </c>
    </row>
    <row r="53" spans="1:10" ht="27" customHeight="1">
      <c r="A53" s="29"/>
      <c r="B53" s="98" t="str">
        <f t="shared" si="0"/>
        <v/>
      </c>
      <c r="C53" s="29"/>
      <c r="D53" s="29"/>
      <c r="E53" s="29"/>
      <c r="F53" s="29"/>
      <c r="G53" s="29"/>
      <c r="H53" s="29"/>
      <c r="I53" s="29"/>
      <c r="J53" s="98" t="str" cm="1">
        <f t="array" ref="J53">IF(ISBLANK($C53),"",SUMPRODUCT(--(LEFT(D53:I53, 1) = "*"))*50)</f>
        <v/>
      </c>
    </row>
    <row r="54" spans="1:10" ht="27" customHeight="1">
      <c r="A54" s="29"/>
      <c r="B54" s="98" t="str">
        <f t="shared" si="0"/>
        <v/>
      </c>
      <c r="C54" s="29"/>
      <c r="D54" s="29"/>
      <c r="E54" s="29"/>
      <c r="F54" s="29"/>
      <c r="G54" s="29"/>
      <c r="H54" s="29"/>
      <c r="I54" s="29"/>
      <c r="J54" s="98" t="str" cm="1">
        <f t="array" ref="J54">IF(ISBLANK($C54),"",SUMPRODUCT(--(LEFT(D54:I54, 1) = "*"))*50)</f>
        <v/>
      </c>
    </row>
    <row r="55" spans="1:10" ht="27" customHeight="1">
      <c r="A55" s="29"/>
      <c r="B55" s="98" t="str">
        <f t="shared" si="0"/>
        <v/>
      </c>
      <c r="C55" s="29"/>
      <c r="D55" s="29"/>
      <c r="E55" s="29"/>
      <c r="F55" s="29"/>
      <c r="G55" s="29"/>
      <c r="H55" s="29"/>
      <c r="I55" s="29"/>
      <c r="J55" s="98" t="str" cm="1">
        <f t="array" ref="J55">IF(ISBLANK($C55),"",SUMPRODUCT(--(LEFT(D55:I55, 1) = "*"))*50)</f>
        <v/>
      </c>
    </row>
    <row r="56" spans="1:10" ht="27" customHeight="1">
      <c r="A56" s="29"/>
      <c r="B56" s="98" t="str">
        <f t="shared" si="0"/>
        <v/>
      </c>
      <c r="C56" s="29"/>
      <c r="D56" s="29"/>
      <c r="E56" s="29"/>
      <c r="F56" s="29"/>
      <c r="G56" s="29"/>
      <c r="H56" s="29"/>
      <c r="I56" s="29"/>
      <c r="J56" s="98" t="str" cm="1">
        <f t="array" ref="J56">IF(ISBLANK($C56),"",SUMPRODUCT(--(LEFT(D56:I56, 1) = "*"))*50)</f>
        <v/>
      </c>
    </row>
    <row r="57" spans="1:10" ht="27" customHeight="1">
      <c r="A57" s="29"/>
      <c r="B57" s="98" t="str">
        <f t="shared" si="0"/>
        <v/>
      </c>
      <c r="C57" s="29"/>
      <c r="D57" s="29"/>
      <c r="E57" s="29"/>
      <c r="F57" s="29"/>
      <c r="G57" s="29"/>
      <c r="H57" s="29"/>
      <c r="I57" s="29"/>
      <c r="J57" s="98" t="str" cm="1">
        <f t="array" ref="J57">IF(ISBLANK($C57),"",SUMPRODUCT(--(LEFT(D57:I57, 1) = "*"))*50)</f>
        <v/>
      </c>
    </row>
    <row r="58" spans="1:10" ht="27" customHeight="1">
      <c r="A58" s="29"/>
      <c r="B58" s="98" t="str">
        <f t="shared" si="0"/>
        <v/>
      </c>
      <c r="C58" s="29"/>
      <c r="D58" s="29"/>
      <c r="E58" s="29"/>
      <c r="F58" s="29"/>
      <c r="G58" s="29"/>
      <c r="H58" s="29"/>
      <c r="I58" s="29"/>
      <c r="J58" s="98" t="str" cm="1">
        <f t="array" ref="J58">IF(ISBLANK($C58),"",SUMPRODUCT(--(LEFT(D58:I58, 1) = "*"))*50)</f>
        <v/>
      </c>
    </row>
    <row r="59" spans="1:10" ht="27" customHeight="1">
      <c r="A59" s="29"/>
      <c r="B59" s="98" t="str">
        <f t="shared" si="0"/>
        <v/>
      </c>
      <c r="C59" s="29"/>
      <c r="D59" s="29"/>
      <c r="E59" s="29"/>
      <c r="F59" s="29"/>
      <c r="G59" s="29"/>
      <c r="H59" s="29"/>
      <c r="I59" s="29"/>
      <c r="J59" s="98" t="str" cm="1">
        <f t="array" ref="J59">IF(ISBLANK($C59),"",SUMPRODUCT(--(LEFT(D59:I59, 1) = "*"))*50)</f>
        <v/>
      </c>
    </row>
    <row r="60" spans="1:10" ht="27" customHeight="1">
      <c r="A60" s="29"/>
      <c r="B60" s="98" t="str">
        <f t="shared" si="0"/>
        <v/>
      </c>
      <c r="C60" s="29"/>
      <c r="D60" s="29"/>
      <c r="E60" s="29"/>
      <c r="F60" s="29"/>
      <c r="G60" s="29"/>
      <c r="H60" s="29"/>
      <c r="I60" s="29"/>
      <c r="J60" s="98" t="str" cm="1">
        <f t="array" ref="J60">IF(ISBLANK($C60),"",SUMPRODUCT(--(LEFT(D60:I60, 1) = "*"))*50)</f>
        <v/>
      </c>
    </row>
    <row r="61" spans="1:10" ht="27" customHeight="1">
      <c r="A61" s="29"/>
      <c r="B61" s="98" t="str">
        <f t="shared" si="0"/>
        <v/>
      </c>
      <c r="C61" s="29"/>
      <c r="D61" s="29"/>
      <c r="E61" s="29"/>
      <c r="F61" s="29"/>
      <c r="G61" s="29"/>
      <c r="H61" s="29"/>
      <c r="I61" s="29"/>
      <c r="J61" s="98" t="str" cm="1">
        <f t="array" ref="J61">IF(ISBLANK($C61),"",SUMPRODUCT(--(LEFT(D61:I61, 1) = "*"))*50)</f>
        <v/>
      </c>
    </row>
    <row r="62" spans="1:10" ht="27" customHeight="1">
      <c r="A62" s="29"/>
      <c r="B62" s="98" t="str">
        <f t="shared" si="0"/>
        <v/>
      </c>
      <c r="C62" s="29"/>
      <c r="D62" s="29"/>
      <c r="E62" s="29"/>
      <c r="F62" s="29"/>
      <c r="G62" s="29"/>
      <c r="H62" s="29"/>
      <c r="I62" s="29"/>
      <c r="J62" s="98" t="str" cm="1">
        <f t="array" ref="J62">IF(ISBLANK($C62),"",SUMPRODUCT(--(LEFT(D62:I62, 1) = "*"))*50)</f>
        <v/>
      </c>
    </row>
    <row r="63" spans="1:10" ht="27" customHeight="1">
      <c r="A63" s="29"/>
      <c r="B63" s="98" t="str">
        <f t="shared" si="0"/>
        <v/>
      </c>
      <c r="C63" s="29"/>
      <c r="D63" s="29"/>
      <c r="E63" s="29"/>
      <c r="F63" s="29"/>
      <c r="G63" s="29"/>
      <c r="H63" s="29"/>
      <c r="I63" s="29"/>
      <c r="J63" s="98" t="str" cm="1">
        <f t="array" ref="J63">IF(ISBLANK($C63),"",SUMPRODUCT(--(LEFT(D63:I63, 1) = "*"))*50)</f>
        <v/>
      </c>
    </row>
    <row r="64" spans="1:10" ht="27" customHeight="1">
      <c r="A64" s="29"/>
      <c r="B64" s="98" t="str">
        <f t="shared" si="0"/>
        <v/>
      </c>
      <c r="C64" s="29"/>
      <c r="D64" s="29"/>
      <c r="E64" s="29"/>
      <c r="F64" s="29"/>
      <c r="G64" s="29"/>
      <c r="H64" s="29"/>
      <c r="I64" s="29"/>
      <c r="J64" s="98" t="str" cm="1">
        <f t="array" ref="J64">IF(ISBLANK($C64),"",SUMPRODUCT(--(LEFT(D64:I64, 1) = "*"))*50)</f>
        <v/>
      </c>
    </row>
    <row r="65" spans="1:10" ht="27" customHeight="1">
      <c r="A65" s="29"/>
      <c r="B65" s="98" t="str">
        <f t="shared" si="0"/>
        <v/>
      </c>
      <c r="C65" s="29"/>
      <c r="D65" s="29"/>
      <c r="E65" s="29"/>
      <c r="F65" s="29"/>
      <c r="G65" s="29"/>
      <c r="H65" s="29"/>
      <c r="I65" s="29"/>
      <c r="J65" s="98" t="str" cm="1">
        <f t="array" ref="J65">IF(ISBLANK($C65),"",SUMPRODUCT(--(LEFT(D65:I65, 1) = "*"))*50)</f>
        <v/>
      </c>
    </row>
    <row r="66" spans="1:10" ht="27" customHeight="1">
      <c r="A66" s="29"/>
      <c r="B66" s="98" t="str">
        <f t="shared" si="0"/>
        <v/>
      </c>
      <c r="C66" s="29"/>
      <c r="D66" s="29"/>
      <c r="E66" s="29"/>
      <c r="F66" s="29"/>
      <c r="G66" s="29"/>
      <c r="H66" s="29"/>
      <c r="I66" s="29"/>
      <c r="J66" s="98" t="str" cm="1">
        <f t="array" ref="J66">IF(ISBLANK($C66),"",SUMPRODUCT(--(LEFT(D66:I66, 1) = "*"))*50)</f>
        <v/>
      </c>
    </row>
    <row r="67" spans="1:10" ht="27" customHeight="1">
      <c r="A67" s="29"/>
      <c r="B67" s="98" t="str">
        <f t="shared" ref="B67:B130" si="1">IF(ISBLANK($C67),"","MCQ")</f>
        <v/>
      </c>
      <c r="C67" s="29"/>
      <c r="D67" s="29"/>
      <c r="E67" s="29"/>
      <c r="F67" s="29"/>
      <c r="G67" s="29"/>
      <c r="H67" s="29"/>
      <c r="I67" s="29"/>
      <c r="J67" s="98" t="str" cm="1">
        <f t="array" ref="J67">IF(ISBLANK($C67),"",SUMPRODUCT(--(LEFT(D67:I67, 1) = "*"))*50)</f>
        <v/>
      </c>
    </row>
    <row r="68" spans="1:10" ht="27" customHeight="1">
      <c r="A68" s="29"/>
      <c r="B68" s="98" t="str">
        <f t="shared" si="1"/>
        <v/>
      </c>
      <c r="C68" s="29"/>
      <c r="D68" s="29"/>
      <c r="E68" s="29"/>
      <c r="F68" s="29"/>
      <c r="G68" s="29"/>
      <c r="H68" s="29"/>
      <c r="I68" s="29"/>
      <c r="J68" s="98" t="str" cm="1">
        <f t="array" ref="J68">IF(ISBLANK($C68),"",SUMPRODUCT(--(LEFT(D68:I68, 1) = "*"))*50)</f>
        <v/>
      </c>
    </row>
    <row r="69" spans="1:10" ht="27" customHeight="1">
      <c r="A69" s="29"/>
      <c r="B69" s="98" t="str">
        <f t="shared" si="1"/>
        <v/>
      </c>
      <c r="C69" s="29"/>
      <c r="D69" s="29"/>
      <c r="E69" s="29"/>
      <c r="F69" s="29"/>
      <c r="G69" s="29"/>
      <c r="H69" s="29"/>
      <c r="I69" s="29"/>
      <c r="J69" s="98" t="str" cm="1">
        <f t="array" ref="J69">IF(ISBLANK($C69),"",SUMPRODUCT(--(LEFT(D69:I69, 1) = "*"))*50)</f>
        <v/>
      </c>
    </row>
    <row r="70" spans="1:10" ht="27" customHeight="1">
      <c r="A70" s="29"/>
      <c r="B70" s="98" t="str">
        <f t="shared" si="1"/>
        <v/>
      </c>
      <c r="C70" s="29"/>
      <c r="D70" s="29"/>
      <c r="E70" s="29"/>
      <c r="F70" s="29"/>
      <c r="G70" s="29"/>
      <c r="H70" s="29"/>
      <c r="I70" s="29"/>
      <c r="J70" s="98" t="str" cm="1">
        <f t="array" ref="J70">IF(ISBLANK($C70),"",SUMPRODUCT(--(LEFT(D70:I70, 1) = "*"))*50)</f>
        <v/>
      </c>
    </row>
    <row r="71" spans="1:10" ht="27" customHeight="1">
      <c r="A71" s="29"/>
      <c r="B71" s="98" t="str">
        <f t="shared" si="1"/>
        <v/>
      </c>
      <c r="C71" s="29"/>
      <c r="D71" s="29"/>
      <c r="E71" s="29"/>
      <c r="F71" s="29"/>
      <c r="G71" s="29"/>
      <c r="H71" s="29"/>
      <c r="I71" s="29"/>
      <c r="J71" s="98" t="str" cm="1">
        <f t="array" ref="J71">IF(ISBLANK($C71),"",SUMPRODUCT(--(LEFT(D71:I71, 1) = "*"))*50)</f>
        <v/>
      </c>
    </row>
    <row r="72" spans="1:10" ht="27" customHeight="1">
      <c r="A72" s="29"/>
      <c r="B72" s="98" t="str">
        <f t="shared" si="1"/>
        <v/>
      </c>
      <c r="C72" s="29"/>
      <c r="D72" s="29"/>
      <c r="E72" s="29"/>
      <c r="F72" s="29"/>
      <c r="G72" s="29"/>
      <c r="H72" s="29"/>
      <c r="I72" s="29"/>
      <c r="J72" s="98" t="str" cm="1">
        <f t="array" ref="J72">IF(ISBLANK($C72),"",SUMPRODUCT(--(LEFT(D72:I72, 1) = "*"))*50)</f>
        <v/>
      </c>
    </row>
    <row r="73" spans="1:10" ht="27" customHeight="1">
      <c r="A73" s="29"/>
      <c r="B73" s="98" t="str">
        <f t="shared" si="1"/>
        <v/>
      </c>
      <c r="C73" s="29"/>
      <c r="D73" s="29"/>
      <c r="E73" s="29"/>
      <c r="F73" s="29"/>
      <c r="G73" s="29"/>
      <c r="H73" s="29"/>
      <c r="I73" s="29"/>
      <c r="J73" s="98" t="str" cm="1">
        <f t="array" ref="J73">IF(ISBLANK($C73),"",SUMPRODUCT(--(LEFT(D73:I73, 1) = "*"))*50)</f>
        <v/>
      </c>
    </row>
    <row r="74" spans="1:10" ht="27" customHeight="1">
      <c r="A74" s="29"/>
      <c r="B74" s="98" t="str">
        <f t="shared" si="1"/>
        <v/>
      </c>
      <c r="C74" s="29"/>
      <c r="D74" s="29"/>
      <c r="E74" s="29"/>
      <c r="F74" s="29"/>
      <c r="G74" s="29"/>
      <c r="H74" s="29"/>
      <c r="I74" s="29"/>
      <c r="J74" s="98" t="str" cm="1">
        <f t="array" ref="J74">IF(ISBLANK($C74),"",SUMPRODUCT(--(LEFT(D74:I74, 1) = "*"))*50)</f>
        <v/>
      </c>
    </row>
    <row r="75" spans="1:10" ht="27" customHeight="1">
      <c r="A75" s="29"/>
      <c r="B75" s="98" t="str">
        <f t="shared" si="1"/>
        <v/>
      </c>
      <c r="C75" s="29"/>
      <c r="D75" s="29"/>
      <c r="E75" s="29"/>
      <c r="F75" s="29"/>
      <c r="G75" s="29"/>
      <c r="H75" s="29"/>
      <c r="I75" s="29"/>
      <c r="J75" s="98" t="str" cm="1">
        <f t="array" ref="J75">IF(ISBLANK($C75),"",SUMPRODUCT(--(LEFT(D75:I75, 1) = "*"))*50)</f>
        <v/>
      </c>
    </row>
    <row r="76" spans="1:10" ht="27" customHeight="1">
      <c r="A76" s="29"/>
      <c r="B76" s="98" t="str">
        <f t="shared" si="1"/>
        <v/>
      </c>
      <c r="C76" s="29"/>
      <c r="D76" s="29"/>
      <c r="E76" s="29"/>
      <c r="F76" s="29"/>
      <c r="G76" s="29"/>
      <c r="H76" s="29"/>
      <c r="I76" s="29"/>
      <c r="J76" s="98" t="str" cm="1">
        <f t="array" ref="J76">IF(ISBLANK($C76),"",SUMPRODUCT(--(LEFT(D76:I76, 1) = "*"))*50)</f>
        <v/>
      </c>
    </row>
    <row r="77" spans="1:10" ht="27" customHeight="1">
      <c r="A77" s="29"/>
      <c r="B77" s="98" t="str">
        <f t="shared" si="1"/>
        <v/>
      </c>
      <c r="C77" s="29"/>
      <c r="D77" s="29"/>
      <c r="E77" s="29"/>
      <c r="F77" s="29"/>
      <c r="G77" s="29"/>
      <c r="H77" s="29"/>
      <c r="I77" s="29"/>
      <c r="J77" s="98" t="str" cm="1">
        <f t="array" ref="J77">IF(ISBLANK($C77),"",SUMPRODUCT(--(LEFT(D77:I77, 1) = "*"))*50)</f>
        <v/>
      </c>
    </row>
    <row r="78" spans="1:10" ht="27" customHeight="1">
      <c r="A78" s="29"/>
      <c r="B78" s="98" t="str">
        <f t="shared" si="1"/>
        <v/>
      </c>
      <c r="C78" s="29"/>
      <c r="D78" s="29"/>
      <c r="E78" s="29"/>
      <c r="F78" s="29"/>
      <c r="G78" s="29"/>
      <c r="H78" s="29"/>
      <c r="I78" s="29"/>
      <c r="J78" s="98" t="str" cm="1">
        <f t="array" ref="J78">IF(ISBLANK($C78),"",SUMPRODUCT(--(LEFT(D78:I78, 1) = "*"))*50)</f>
        <v/>
      </c>
    </row>
    <row r="79" spans="1:10" ht="27" customHeight="1">
      <c r="A79" s="29"/>
      <c r="B79" s="98" t="str">
        <f t="shared" si="1"/>
        <v/>
      </c>
      <c r="C79" s="29"/>
      <c r="D79" s="29"/>
      <c r="E79" s="29"/>
      <c r="F79" s="29"/>
      <c r="G79" s="29"/>
      <c r="H79" s="29"/>
      <c r="I79" s="29"/>
      <c r="J79" s="98" t="str" cm="1">
        <f t="array" ref="J79">IF(ISBLANK($C79),"",SUMPRODUCT(--(LEFT(D79:I79, 1) = "*"))*50)</f>
        <v/>
      </c>
    </row>
    <row r="80" spans="1:10" ht="27" customHeight="1">
      <c r="A80" s="29"/>
      <c r="B80" s="98" t="str">
        <f t="shared" si="1"/>
        <v/>
      </c>
      <c r="C80" s="29"/>
      <c r="D80" s="29"/>
      <c r="E80" s="29"/>
      <c r="F80" s="29"/>
      <c r="G80" s="29"/>
      <c r="H80" s="29"/>
      <c r="I80" s="29"/>
      <c r="J80" s="98" t="str" cm="1">
        <f t="array" ref="J80">IF(ISBLANK($C80),"",SUMPRODUCT(--(LEFT(D80:I80, 1) = "*"))*50)</f>
        <v/>
      </c>
    </row>
    <row r="81" spans="1:10" ht="27" customHeight="1">
      <c r="A81" s="29"/>
      <c r="B81" s="98" t="str">
        <f t="shared" si="1"/>
        <v/>
      </c>
      <c r="C81" s="29"/>
      <c r="D81" s="29"/>
      <c r="E81" s="29"/>
      <c r="F81" s="29"/>
      <c r="G81" s="29"/>
      <c r="H81" s="29"/>
      <c r="I81" s="29"/>
      <c r="J81" s="98" t="str" cm="1">
        <f t="array" ref="J81">IF(ISBLANK($C81),"",SUMPRODUCT(--(LEFT(D81:I81, 1) = "*"))*50)</f>
        <v/>
      </c>
    </row>
    <row r="82" spans="1:10" ht="27" customHeight="1">
      <c r="A82" s="29"/>
      <c r="B82" s="98" t="str">
        <f t="shared" si="1"/>
        <v/>
      </c>
      <c r="C82" s="29"/>
      <c r="D82" s="29"/>
      <c r="E82" s="29"/>
      <c r="F82" s="29"/>
      <c r="G82" s="29"/>
      <c r="H82" s="29"/>
      <c r="I82" s="29"/>
      <c r="J82" s="98" t="str" cm="1">
        <f t="array" ref="J82">IF(ISBLANK($C82),"",SUMPRODUCT(--(LEFT(D82:I82, 1) = "*"))*50)</f>
        <v/>
      </c>
    </row>
    <row r="83" spans="1:10" ht="27" customHeight="1">
      <c r="A83" s="29"/>
      <c r="B83" s="98" t="str">
        <f t="shared" si="1"/>
        <v/>
      </c>
      <c r="C83" s="29"/>
      <c r="D83" s="29"/>
      <c r="E83" s="29"/>
      <c r="F83" s="29"/>
      <c r="G83" s="29"/>
      <c r="H83" s="29"/>
      <c r="I83" s="29"/>
      <c r="J83" s="98" t="str" cm="1">
        <f t="array" ref="J83">IF(ISBLANK($C83),"",SUMPRODUCT(--(LEFT(D83:I83, 1) = "*"))*50)</f>
        <v/>
      </c>
    </row>
    <row r="84" spans="1:10" ht="27" customHeight="1">
      <c r="A84" s="29"/>
      <c r="B84" s="98" t="str">
        <f t="shared" si="1"/>
        <v/>
      </c>
      <c r="C84" s="29"/>
      <c r="D84" s="29"/>
      <c r="E84" s="29"/>
      <c r="F84" s="29"/>
      <c r="G84" s="29"/>
      <c r="H84" s="29"/>
      <c r="I84" s="29"/>
      <c r="J84" s="98" t="str" cm="1">
        <f t="array" ref="J84">IF(ISBLANK($C84),"",SUMPRODUCT(--(LEFT(D84:I84, 1) = "*"))*50)</f>
        <v/>
      </c>
    </row>
    <row r="85" spans="1:10" ht="27" customHeight="1">
      <c r="A85" s="29"/>
      <c r="B85" s="98" t="str">
        <f t="shared" si="1"/>
        <v/>
      </c>
      <c r="C85" s="29"/>
      <c r="D85" s="29"/>
      <c r="E85" s="29"/>
      <c r="F85" s="29"/>
      <c r="G85" s="29"/>
      <c r="H85" s="29"/>
      <c r="I85" s="29"/>
      <c r="J85" s="98" t="str" cm="1">
        <f t="array" ref="J85">IF(ISBLANK($C85),"",SUMPRODUCT(--(LEFT(D85:I85, 1) = "*"))*50)</f>
        <v/>
      </c>
    </row>
    <row r="86" spans="1:10" ht="27" customHeight="1">
      <c r="A86" s="29"/>
      <c r="B86" s="98" t="str">
        <f t="shared" si="1"/>
        <v/>
      </c>
      <c r="C86" s="29"/>
      <c r="D86" s="29"/>
      <c r="E86" s="29"/>
      <c r="F86" s="29"/>
      <c r="G86" s="29"/>
      <c r="H86" s="29"/>
      <c r="I86" s="29"/>
      <c r="J86" s="98" t="str" cm="1">
        <f t="array" ref="J86">IF(ISBLANK($C86),"",SUMPRODUCT(--(LEFT(D86:I86, 1) = "*"))*50)</f>
        <v/>
      </c>
    </row>
    <row r="87" spans="1:10" ht="27" customHeight="1">
      <c r="A87" s="29"/>
      <c r="B87" s="98" t="str">
        <f t="shared" si="1"/>
        <v/>
      </c>
      <c r="C87" s="29"/>
      <c r="D87" s="29"/>
      <c r="E87" s="29"/>
      <c r="F87" s="29"/>
      <c r="G87" s="29"/>
      <c r="H87" s="29"/>
      <c r="I87" s="29"/>
      <c r="J87" s="98" t="str" cm="1">
        <f t="array" ref="J87">IF(ISBLANK($C87),"",SUMPRODUCT(--(LEFT(D87:I87, 1) = "*"))*50)</f>
        <v/>
      </c>
    </row>
    <row r="88" spans="1:10" ht="27" customHeight="1">
      <c r="A88" s="29"/>
      <c r="B88" s="98" t="str">
        <f t="shared" si="1"/>
        <v/>
      </c>
      <c r="C88" s="29"/>
      <c r="D88" s="29"/>
      <c r="E88" s="29"/>
      <c r="F88" s="29"/>
      <c r="G88" s="29"/>
      <c r="H88" s="29"/>
      <c r="I88" s="29"/>
      <c r="J88" s="98" t="str" cm="1">
        <f t="array" ref="J88">IF(ISBLANK($C88),"",SUMPRODUCT(--(LEFT(D88:I88, 1) = "*"))*50)</f>
        <v/>
      </c>
    </row>
    <row r="89" spans="1:10" ht="27" customHeight="1">
      <c r="A89" s="29"/>
      <c r="B89" s="98" t="str">
        <f t="shared" si="1"/>
        <v/>
      </c>
      <c r="C89" s="29"/>
      <c r="D89" s="29"/>
      <c r="E89" s="29"/>
      <c r="F89" s="29"/>
      <c r="G89" s="29"/>
      <c r="H89" s="29"/>
      <c r="I89" s="29"/>
      <c r="J89" s="98" t="str" cm="1">
        <f t="array" ref="J89">IF(ISBLANK($C89),"",SUMPRODUCT(--(LEFT(D89:I89, 1) = "*"))*50)</f>
        <v/>
      </c>
    </row>
    <row r="90" spans="1:10" ht="27" customHeight="1">
      <c r="A90" s="29"/>
      <c r="B90" s="98" t="str">
        <f t="shared" si="1"/>
        <v/>
      </c>
      <c r="C90" s="29"/>
      <c r="D90" s="29"/>
      <c r="E90" s="29"/>
      <c r="F90" s="29"/>
      <c r="G90" s="29"/>
      <c r="H90" s="29"/>
      <c r="I90" s="29"/>
      <c r="J90" s="98" t="str" cm="1">
        <f t="array" ref="J90">IF(ISBLANK($C90),"",SUMPRODUCT(--(LEFT(D90:I90, 1) = "*"))*50)</f>
        <v/>
      </c>
    </row>
    <row r="91" spans="1:10" ht="27" customHeight="1">
      <c r="A91" s="29"/>
      <c r="B91" s="98" t="str">
        <f t="shared" si="1"/>
        <v/>
      </c>
      <c r="C91" s="29"/>
      <c r="D91" s="29"/>
      <c r="E91" s="29"/>
      <c r="F91" s="29"/>
      <c r="G91" s="29"/>
      <c r="H91" s="29"/>
      <c r="I91" s="29"/>
      <c r="J91" s="98" t="str" cm="1">
        <f t="array" ref="J91">IF(ISBLANK($C91),"",SUMPRODUCT(--(LEFT(D91:I91, 1) = "*"))*50)</f>
        <v/>
      </c>
    </row>
    <row r="92" spans="1:10" ht="27" customHeight="1">
      <c r="A92" s="29"/>
      <c r="B92" s="98" t="str">
        <f t="shared" si="1"/>
        <v/>
      </c>
      <c r="C92" s="29"/>
      <c r="D92" s="29"/>
      <c r="E92" s="29"/>
      <c r="F92" s="29"/>
      <c r="G92" s="29"/>
      <c r="H92" s="29"/>
      <c r="I92" s="29"/>
      <c r="J92" s="98" t="str" cm="1">
        <f t="array" ref="J92">IF(ISBLANK($C92),"",SUMPRODUCT(--(LEFT(D92:I92, 1) = "*"))*50)</f>
        <v/>
      </c>
    </row>
    <row r="93" spans="1:10" ht="27" customHeight="1">
      <c r="A93" s="29"/>
      <c r="B93" s="98" t="str">
        <f t="shared" si="1"/>
        <v/>
      </c>
      <c r="C93" s="29"/>
      <c r="D93" s="29"/>
      <c r="E93" s="29"/>
      <c r="F93" s="29"/>
      <c r="G93" s="29"/>
      <c r="H93" s="29"/>
      <c r="I93" s="29"/>
      <c r="J93" s="98" t="str" cm="1">
        <f t="array" ref="J93">IF(ISBLANK($C93),"",SUMPRODUCT(--(LEFT(D93:I93, 1) = "*"))*50)</f>
        <v/>
      </c>
    </row>
    <row r="94" spans="1:10" ht="27" customHeight="1">
      <c r="A94" s="29"/>
      <c r="B94" s="98" t="str">
        <f t="shared" si="1"/>
        <v/>
      </c>
      <c r="C94" s="29"/>
      <c r="D94" s="29"/>
      <c r="E94" s="29"/>
      <c r="F94" s="29"/>
      <c r="G94" s="29"/>
      <c r="H94" s="29"/>
      <c r="I94" s="29"/>
      <c r="J94" s="98" t="str" cm="1">
        <f t="array" ref="J94">IF(ISBLANK($C94),"",SUMPRODUCT(--(LEFT(D94:I94, 1) = "*"))*50)</f>
        <v/>
      </c>
    </row>
    <row r="95" spans="1:10" ht="27" customHeight="1">
      <c r="A95" s="29"/>
      <c r="B95" s="98" t="str">
        <f t="shared" si="1"/>
        <v/>
      </c>
      <c r="C95" s="29"/>
      <c r="D95" s="29"/>
      <c r="E95" s="29"/>
      <c r="F95" s="29"/>
      <c r="G95" s="29"/>
      <c r="H95" s="29"/>
      <c r="I95" s="29"/>
      <c r="J95" s="98" t="str" cm="1">
        <f t="array" ref="J95">IF(ISBLANK($C95),"",SUMPRODUCT(--(LEFT(D95:I95, 1) = "*"))*50)</f>
        <v/>
      </c>
    </row>
    <row r="96" spans="1:10" ht="27" customHeight="1">
      <c r="A96" s="29"/>
      <c r="B96" s="98" t="str">
        <f t="shared" si="1"/>
        <v/>
      </c>
      <c r="C96" s="29"/>
      <c r="D96" s="29"/>
      <c r="E96" s="29"/>
      <c r="F96" s="29"/>
      <c r="G96" s="29"/>
      <c r="H96" s="29"/>
      <c r="I96" s="29"/>
      <c r="J96" s="98" t="str" cm="1">
        <f t="array" ref="J96">IF(ISBLANK($C96),"",SUMPRODUCT(--(LEFT(D96:I96, 1) = "*"))*50)</f>
        <v/>
      </c>
    </row>
    <row r="97" spans="1:10" ht="27" customHeight="1">
      <c r="A97" s="29"/>
      <c r="B97" s="98" t="str">
        <f t="shared" si="1"/>
        <v/>
      </c>
      <c r="C97" s="29"/>
      <c r="D97" s="29"/>
      <c r="E97" s="29"/>
      <c r="F97" s="29"/>
      <c r="G97" s="29"/>
      <c r="H97" s="29"/>
      <c r="I97" s="29"/>
      <c r="J97" s="98" t="str" cm="1">
        <f t="array" ref="J97">IF(ISBLANK($C97),"",SUMPRODUCT(--(LEFT(D97:I97, 1) = "*"))*50)</f>
        <v/>
      </c>
    </row>
    <row r="98" spans="1:10" ht="27" customHeight="1">
      <c r="A98" s="29"/>
      <c r="B98" s="98" t="str">
        <f t="shared" si="1"/>
        <v/>
      </c>
      <c r="C98" s="29"/>
      <c r="D98" s="29"/>
      <c r="E98" s="29"/>
      <c r="F98" s="29"/>
      <c r="G98" s="29"/>
      <c r="H98" s="29"/>
      <c r="I98" s="29"/>
      <c r="J98" s="98" t="str" cm="1">
        <f t="array" ref="J98">IF(ISBLANK($C98),"",SUMPRODUCT(--(LEFT(D98:I98, 1) = "*"))*50)</f>
        <v/>
      </c>
    </row>
    <row r="99" spans="1:10" ht="27" customHeight="1">
      <c r="A99" s="29"/>
      <c r="B99" s="98" t="str">
        <f t="shared" si="1"/>
        <v/>
      </c>
      <c r="C99" s="29"/>
      <c r="D99" s="29"/>
      <c r="E99" s="29"/>
      <c r="F99" s="29"/>
      <c r="G99" s="29"/>
      <c r="H99" s="29"/>
      <c r="I99" s="29"/>
      <c r="J99" s="98" t="str" cm="1">
        <f t="array" ref="J99">IF(ISBLANK($C99),"",SUMPRODUCT(--(LEFT(D99:I99, 1) = "*"))*50)</f>
        <v/>
      </c>
    </row>
    <row r="100" spans="1:10" ht="27" customHeight="1">
      <c r="A100" s="29"/>
      <c r="B100" s="98" t="str">
        <f t="shared" si="1"/>
        <v/>
      </c>
      <c r="C100" s="29"/>
      <c r="D100" s="29"/>
      <c r="E100" s="29"/>
      <c r="F100" s="29"/>
      <c r="G100" s="29"/>
      <c r="H100" s="29"/>
      <c r="I100" s="29"/>
      <c r="J100" s="98" t="str" cm="1">
        <f t="array" ref="J100">IF(ISBLANK($C100),"",SUMPRODUCT(--(LEFT(D100:I100, 1) = "*"))*50)</f>
        <v/>
      </c>
    </row>
    <row r="101" spans="1:10" ht="27" customHeight="1">
      <c r="A101" s="29"/>
      <c r="B101" s="98" t="str">
        <f t="shared" si="1"/>
        <v/>
      </c>
      <c r="C101" s="29"/>
      <c r="D101" s="29"/>
      <c r="E101" s="29"/>
      <c r="F101" s="29"/>
      <c r="G101" s="29"/>
      <c r="H101" s="29"/>
      <c r="I101" s="29"/>
      <c r="J101" s="98" t="str" cm="1">
        <f t="array" ref="J101">IF(ISBLANK($C101),"",SUMPRODUCT(--(LEFT(D101:I101, 1) = "*"))*50)</f>
        <v/>
      </c>
    </row>
    <row r="102" spans="1:10" ht="27" customHeight="1">
      <c r="A102" s="29"/>
      <c r="B102" s="98" t="str">
        <f t="shared" si="1"/>
        <v/>
      </c>
      <c r="C102" s="29"/>
      <c r="D102" s="29"/>
      <c r="E102" s="29"/>
      <c r="F102" s="29"/>
      <c r="G102" s="29"/>
      <c r="H102" s="29"/>
      <c r="I102" s="29"/>
      <c r="J102" s="98" t="str" cm="1">
        <f t="array" ref="J102">IF(ISBLANK($C102),"",SUMPRODUCT(--(LEFT(D102:I102, 1) = "*"))*50)</f>
        <v/>
      </c>
    </row>
    <row r="103" spans="1:10" ht="27" customHeight="1">
      <c r="A103" s="29"/>
      <c r="B103" s="98" t="str">
        <f t="shared" si="1"/>
        <v/>
      </c>
      <c r="C103" s="29"/>
      <c r="D103" s="29"/>
      <c r="E103" s="29"/>
      <c r="F103" s="29"/>
      <c r="G103" s="29"/>
      <c r="H103" s="29"/>
      <c r="I103" s="29"/>
      <c r="J103" s="98" t="str" cm="1">
        <f t="array" ref="J103">IF(ISBLANK($C103),"",SUMPRODUCT(--(LEFT(D103:I103, 1) = "*"))*50)</f>
        <v/>
      </c>
    </row>
    <row r="104" spans="1:10" ht="27" customHeight="1">
      <c r="A104" s="29"/>
      <c r="B104" s="98" t="str">
        <f t="shared" si="1"/>
        <v/>
      </c>
      <c r="C104" s="29"/>
      <c r="D104" s="29"/>
      <c r="E104" s="29"/>
      <c r="F104" s="29"/>
      <c r="G104" s="29"/>
      <c r="H104" s="29"/>
      <c r="I104" s="29"/>
      <c r="J104" s="98" t="str" cm="1">
        <f t="array" ref="J104">IF(ISBLANK($C104),"",SUMPRODUCT(--(LEFT(D104:I104, 1) = "*"))*50)</f>
        <v/>
      </c>
    </row>
    <row r="105" spans="1:10" ht="27" customHeight="1">
      <c r="A105" s="29"/>
      <c r="B105" s="98" t="str">
        <f t="shared" si="1"/>
        <v/>
      </c>
      <c r="C105" s="29"/>
      <c r="D105" s="29"/>
      <c r="E105" s="29"/>
      <c r="F105" s="29"/>
      <c r="G105" s="29"/>
      <c r="H105" s="29"/>
      <c r="I105" s="29"/>
      <c r="J105" s="98" t="str" cm="1">
        <f t="array" ref="J105">IF(ISBLANK($C105),"",SUMPRODUCT(--(LEFT(D105:I105, 1) = "*"))*50)</f>
        <v/>
      </c>
    </row>
    <row r="106" spans="1:10" ht="27" customHeight="1">
      <c r="A106" s="29"/>
      <c r="B106" s="98" t="str">
        <f t="shared" si="1"/>
        <v/>
      </c>
      <c r="C106" s="29"/>
      <c r="D106" s="29"/>
      <c r="E106" s="29"/>
      <c r="F106" s="29"/>
      <c r="G106" s="29"/>
      <c r="H106" s="29"/>
      <c r="I106" s="29"/>
      <c r="J106" s="98" t="str" cm="1">
        <f t="array" ref="J106">IF(ISBLANK($C106),"",SUMPRODUCT(--(LEFT(D106:I106, 1) = "*"))*50)</f>
        <v/>
      </c>
    </row>
    <row r="107" spans="1:10" ht="27" customHeight="1">
      <c r="A107" s="29"/>
      <c r="B107" s="98" t="str">
        <f t="shared" si="1"/>
        <v/>
      </c>
      <c r="C107" s="29"/>
      <c r="D107" s="29"/>
      <c r="E107" s="29"/>
      <c r="F107" s="29"/>
      <c r="G107" s="29"/>
      <c r="H107" s="29"/>
      <c r="I107" s="29"/>
      <c r="J107" s="98" t="str" cm="1">
        <f t="array" ref="J107">IF(ISBLANK($C107),"",SUMPRODUCT(--(LEFT(D107:I107, 1) = "*"))*50)</f>
        <v/>
      </c>
    </row>
    <row r="108" spans="1:10" ht="27" customHeight="1">
      <c r="A108" s="29"/>
      <c r="B108" s="98" t="str">
        <f t="shared" si="1"/>
        <v/>
      </c>
      <c r="C108" s="29"/>
      <c r="D108" s="29"/>
      <c r="E108" s="29"/>
      <c r="F108" s="29"/>
      <c r="G108" s="29"/>
      <c r="H108" s="29"/>
      <c r="I108" s="29"/>
      <c r="J108" s="98" t="str" cm="1">
        <f t="array" ref="J108">IF(ISBLANK($C108),"",SUMPRODUCT(--(LEFT(D108:I108, 1) = "*"))*50)</f>
        <v/>
      </c>
    </row>
    <row r="109" spans="1:10" ht="27" customHeight="1">
      <c r="A109" s="29"/>
      <c r="B109" s="98" t="str">
        <f t="shared" si="1"/>
        <v/>
      </c>
      <c r="C109" s="29"/>
      <c r="D109" s="29"/>
      <c r="E109" s="29"/>
      <c r="F109" s="29"/>
      <c r="G109" s="29"/>
      <c r="H109" s="29"/>
      <c r="I109" s="29"/>
      <c r="J109" s="98" t="str" cm="1">
        <f t="array" ref="J109">IF(ISBLANK($C109),"",SUMPRODUCT(--(LEFT(D109:I109, 1) = "*"))*50)</f>
        <v/>
      </c>
    </row>
    <row r="110" spans="1:10" ht="27" customHeight="1">
      <c r="A110" s="29"/>
      <c r="B110" s="98" t="str">
        <f t="shared" si="1"/>
        <v/>
      </c>
      <c r="C110" s="29"/>
      <c r="D110" s="29"/>
      <c r="E110" s="29"/>
      <c r="F110" s="29"/>
      <c r="G110" s="29"/>
      <c r="H110" s="29"/>
      <c r="I110" s="29"/>
      <c r="J110" s="98" t="str" cm="1">
        <f t="array" ref="J110">IF(ISBLANK($C110),"",SUMPRODUCT(--(LEFT(D110:I110, 1) = "*"))*50)</f>
        <v/>
      </c>
    </row>
    <row r="111" spans="1:10" ht="27" customHeight="1">
      <c r="A111" s="29"/>
      <c r="B111" s="98" t="str">
        <f t="shared" si="1"/>
        <v/>
      </c>
      <c r="C111" s="29"/>
      <c r="D111" s="29"/>
      <c r="E111" s="29"/>
      <c r="F111" s="29"/>
      <c r="G111" s="29"/>
      <c r="H111" s="29"/>
      <c r="I111" s="29"/>
      <c r="J111" s="98" t="str" cm="1">
        <f t="array" ref="J111">IF(ISBLANK($C111),"",SUMPRODUCT(--(LEFT(D111:I111, 1) = "*"))*50)</f>
        <v/>
      </c>
    </row>
    <row r="112" spans="1:10" ht="27" customHeight="1">
      <c r="A112" s="29"/>
      <c r="B112" s="98" t="str">
        <f t="shared" si="1"/>
        <v/>
      </c>
      <c r="C112" s="29"/>
      <c r="D112" s="29"/>
      <c r="E112" s="29"/>
      <c r="F112" s="29"/>
      <c r="G112" s="29"/>
      <c r="H112" s="29"/>
      <c r="I112" s="29"/>
      <c r="J112" s="98" t="str" cm="1">
        <f t="array" ref="J112">IF(ISBLANK($C112),"",SUMPRODUCT(--(LEFT(D112:I112, 1) = "*"))*50)</f>
        <v/>
      </c>
    </row>
    <row r="113" spans="1:10" ht="27" customHeight="1">
      <c r="A113" s="29"/>
      <c r="B113" s="98" t="str">
        <f t="shared" si="1"/>
        <v/>
      </c>
      <c r="C113" s="29"/>
      <c r="D113" s="29"/>
      <c r="E113" s="29"/>
      <c r="F113" s="29"/>
      <c r="G113" s="29"/>
      <c r="H113" s="29"/>
      <c r="I113" s="29"/>
      <c r="J113" s="98" t="str" cm="1">
        <f t="array" ref="J113">IF(ISBLANK($C113),"",SUMPRODUCT(--(LEFT(D113:I113, 1) = "*"))*50)</f>
        <v/>
      </c>
    </row>
    <row r="114" spans="1:10" ht="27" customHeight="1">
      <c r="A114" s="29"/>
      <c r="B114" s="98" t="str">
        <f t="shared" si="1"/>
        <v/>
      </c>
      <c r="C114" s="29"/>
      <c r="D114" s="29"/>
      <c r="E114" s="29"/>
      <c r="F114" s="29"/>
      <c r="G114" s="29"/>
      <c r="H114" s="29"/>
      <c r="I114" s="29"/>
      <c r="J114" s="98" t="str" cm="1">
        <f t="array" ref="J114">IF(ISBLANK($C114),"",SUMPRODUCT(--(LEFT(D114:I114, 1) = "*"))*50)</f>
        <v/>
      </c>
    </row>
    <row r="115" spans="1:10" ht="27" customHeight="1">
      <c r="A115" s="29"/>
      <c r="B115" s="98" t="str">
        <f t="shared" si="1"/>
        <v/>
      </c>
      <c r="C115" s="29"/>
      <c r="D115" s="29"/>
      <c r="E115" s="29"/>
      <c r="F115" s="29"/>
      <c r="G115" s="29"/>
      <c r="H115" s="29"/>
      <c r="I115" s="29"/>
      <c r="J115" s="98" t="str" cm="1">
        <f t="array" ref="J115">IF(ISBLANK($C115),"",SUMPRODUCT(--(LEFT(D115:I115, 1) = "*"))*50)</f>
        <v/>
      </c>
    </row>
    <row r="116" spans="1:10" ht="27" customHeight="1">
      <c r="A116" s="29"/>
      <c r="B116" s="98" t="str">
        <f t="shared" si="1"/>
        <v/>
      </c>
      <c r="C116" s="29"/>
      <c r="D116" s="29"/>
      <c r="E116" s="29"/>
      <c r="F116" s="29"/>
      <c r="G116" s="29"/>
      <c r="H116" s="29"/>
      <c r="I116" s="29"/>
      <c r="J116" s="98" t="str" cm="1">
        <f t="array" ref="J116">IF(ISBLANK($C116),"",SUMPRODUCT(--(LEFT(D116:I116, 1) = "*"))*50)</f>
        <v/>
      </c>
    </row>
    <row r="117" spans="1:10" ht="27" customHeight="1">
      <c r="A117" s="29"/>
      <c r="B117" s="98" t="str">
        <f t="shared" si="1"/>
        <v/>
      </c>
      <c r="C117" s="29"/>
      <c r="D117" s="29"/>
      <c r="E117" s="29"/>
      <c r="F117" s="29"/>
      <c r="G117" s="29"/>
      <c r="H117" s="29"/>
      <c r="I117" s="29"/>
      <c r="J117" s="98" t="str" cm="1">
        <f t="array" ref="J117">IF(ISBLANK($C117),"",SUMPRODUCT(--(LEFT(D117:I117, 1) = "*"))*50)</f>
        <v/>
      </c>
    </row>
    <row r="118" spans="1:10" ht="27" customHeight="1">
      <c r="A118" s="29"/>
      <c r="B118" s="98" t="str">
        <f t="shared" si="1"/>
        <v/>
      </c>
      <c r="C118" s="29"/>
      <c r="D118" s="29"/>
      <c r="E118" s="29"/>
      <c r="F118" s="29"/>
      <c r="G118" s="29"/>
      <c r="H118" s="29"/>
      <c r="I118" s="29"/>
      <c r="J118" s="98" t="str" cm="1">
        <f t="array" ref="J118">IF(ISBLANK($C118),"",SUMPRODUCT(--(LEFT(D118:I118, 1) = "*"))*50)</f>
        <v/>
      </c>
    </row>
    <row r="119" spans="1:10" ht="27" customHeight="1">
      <c r="A119" s="29"/>
      <c r="B119" s="98" t="str">
        <f t="shared" si="1"/>
        <v/>
      </c>
      <c r="C119" s="29"/>
      <c r="D119" s="29"/>
      <c r="E119" s="29"/>
      <c r="F119" s="29"/>
      <c r="G119" s="29"/>
      <c r="H119" s="29"/>
      <c r="I119" s="29"/>
      <c r="J119" s="98" t="str" cm="1">
        <f t="array" ref="J119">IF(ISBLANK($C119),"",SUMPRODUCT(--(LEFT(D119:I119, 1) = "*"))*50)</f>
        <v/>
      </c>
    </row>
    <row r="120" spans="1:10" ht="27" customHeight="1">
      <c r="A120" s="29"/>
      <c r="B120" s="98" t="str">
        <f t="shared" si="1"/>
        <v/>
      </c>
      <c r="C120" s="29"/>
      <c r="D120" s="29"/>
      <c r="E120" s="29"/>
      <c r="F120" s="29"/>
      <c r="G120" s="29"/>
      <c r="H120" s="29"/>
      <c r="I120" s="29"/>
      <c r="J120" s="98" t="str" cm="1">
        <f t="array" ref="J120">IF(ISBLANK($C120),"",SUMPRODUCT(--(LEFT(D120:I120, 1) = "*"))*50)</f>
        <v/>
      </c>
    </row>
    <row r="121" spans="1:10" ht="27" customHeight="1">
      <c r="A121" s="29"/>
      <c r="B121" s="98" t="str">
        <f t="shared" si="1"/>
        <v/>
      </c>
      <c r="C121" s="29"/>
      <c r="D121" s="29"/>
      <c r="E121" s="29"/>
      <c r="F121" s="29"/>
      <c r="G121" s="29"/>
      <c r="H121" s="29"/>
      <c r="I121" s="29"/>
      <c r="J121" s="98" t="str" cm="1">
        <f t="array" ref="J121">IF(ISBLANK($C121),"",SUMPRODUCT(--(LEFT(D121:I121, 1) = "*"))*50)</f>
        <v/>
      </c>
    </row>
    <row r="122" spans="1:10" ht="27" customHeight="1">
      <c r="A122" s="29"/>
      <c r="B122" s="98" t="str">
        <f t="shared" si="1"/>
        <v/>
      </c>
      <c r="C122" s="29"/>
      <c r="D122" s="29"/>
      <c r="E122" s="29"/>
      <c r="F122" s="29"/>
      <c r="G122" s="29"/>
      <c r="H122" s="29"/>
      <c r="I122" s="29"/>
      <c r="J122" s="98" t="str" cm="1">
        <f t="array" ref="J122">IF(ISBLANK($C122),"",SUMPRODUCT(--(LEFT(D122:I122, 1) = "*"))*50)</f>
        <v/>
      </c>
    </row>
    <row r="123" spans="1:10" ht="27" customHeight="1">
      <c r="A123" s="29"/>
      <c r="B123" s="98" t="str">
        <f t="shared" si="1"/>
        <v/>
      </c>
      <c r="C123" s="29"/>
      <c r="D123" s="29"/>
      <c r="E123" s="29"/>
      <c r="F123" s="29"/>
      <c r="G123" s="29"/>
      <c r="H123" s="29"/>
      <c r="I123" s="29"/>
      <c r="J123" s="98" t="str" cm="1">
        <f t="array" ref="J123">IF(ISBLANK($C123),"",SUMPRODUCT(--(LEFT(D123:I123, 1) = "*"))*50)</f>
        <v/>
      </c>
    </row>
    <row r="124" spans="1:10" ht="27" customHeight="1">
      <c r="A124" s="29"/>
      <c r="B124" s="98" t="str">
        <f t="shared" si="1"/>
        <v/>
      </c>
      <c r="C124" s="29"/>
      <c r="D124" s="29"/>
      <c r="E124" s="29"/>
      <c r="F124" s="29"/>
      <c r="G124" s="29"/>
      <c r="H124" s="29"/>
      <c r="I124" s="29"/>
      <c r="J124" s="98" t="str" cm="1">
        <f t="array" ref="J124">IF(ISBLANK($C124),"",SUMPRODUCT(--(LEFT(D124:I124, 1) = "*"))*50)</f>
        <v/>
      </c>
    </row>
    <row r="125" spans="1:10" ht="27" customHeight="1">
      <c r="A125" s="29"/>
      <c r="B125" s="98" t="str">
        <f t="shared" si="1"/>
        <v/>
      </c>
      <c r="C125" s="29"/>
      <c r="D125" s="29"/>
      <c r="E125" s="29"/>
      <c r="F125" s="29"/>
      <c r="G125" s="29"/>
      <c r="H125" s="29"/>
      <c r="I125" s="29"/>
      <c r="J125" s="98" t="str" cm="1">
        <f t="array" ref="J125">IF(ISBLANK($C125),"",SUMPRODUCT(--(LEFT(D125:I125, 1) = "*"))*50)</f>
        <v/>
      </c>
    </row>
    <row r="126" spans="1:10" ht="27" customHeight="1">
      <c r="A126" s="29"/>
      <c r="B126" s="98" t="str">
        <f t="shared" si="1"/>
        <v/>
      </c>
      <c r="C126" s="29"/>
      <c r="D126" s="29"/>
      <c r="E126" s="29"/>
      <c r="F126" s="29"/>
      <c r="G126" s="29"/>
      <c r="H126" s="29"/>
      <c r="I126" s="29"/>
      <c r="J126" s="98" t="str" cm="1">
        <f t="array" ref="J126">IF(ISBLANK($C126),"",SUMPRODUCT(--(LEFT(D126:I126, 1) = "*"))*50)</f>
        <v/>
      </c>
    </row>
    <row r="127" spans="1:10" ht="27" customHeight="1">
      <c r="A127" s="29"/>
      <c r="B127" s="98" t="str">
        <f t="shared" si="1"/>
        <v/>
      </c>
      <c r="C127" s="29"/>
      <c r="D127" s="29"/>
      <c r="E127" s="29"/>
      <c r="F127" s="29"/>
      <c r="G127" s="29"/>
      <c r="H127" s="29"/>
      <c r="I127" s="29"/>
      <c r="J127" s="98" t="str" cm="1">
        <f t="array" ref="J127">IF(ISBLANK($C127),"",SUMPRODUCT(--(LEFT(D127:I127, 1) = "*"))*50)</f>
        <v/>
      </c>
    </row>
    <row r="128" spans="1:10" ht="27" customHeight="1">
      <c r="A128" s="29"/>
      <c r="B128" s="98" t="str">
        <f t="shared" si="1"/>
        <v/>
      </c>
      <c r="C128" s="29"/>
      <c r="D128" s="29"/>
      <c r="E128" s="29"/>
      <c r="F128" s="29"/>
      <c r="G128" s="29"/>
      <c r="H128" s="29"/>
      <c r="I128" s="29"/>
      <c r="J128" s="98" t="str" cm="1">
        <f t="array" ref="J128">IF(ISBLANK($C128),"",SUMPRODUCT(--(LEFT(D128:I128, 1) = "*"))*50)</f>
        <v/>
      </c>
    </row>
    <row r="129" spans="1:10" ht="27" customHeight="1">
      <c r="A129" s="29"/>
      <c r="B129" s="98" t="str">
        <f t="shared" si="1"/>
        <v/>
      </c>
      <c r="C129" s="29"/>
      <c r="D129" s="29"/>
      <c r="E129" s="29"/>
      <c r="F129" s="29"/>
      <c r="G129" s="29"/>
      <c r="H129" s="29"/>
      <c r="I129" s="29"/>
      <c r="J129" s="98" t="str" cm="1">
        <f t="array" ref="J129">IF(ISBLANK($C129),"",SUMPRODUCT(--(LEFT(D129:I129, 1) = "*"))*50)</f>
        <v/>
      </c>
    </row>
    <row r="130" spans="1:10" ht="27" customHeight="1">
      <c r="A130" s="29"/>
      <c r="B130" s="98" t="str">
        <f t="shared" si="1"/>
        <v/>
      </c>
      <c r="C130" s="29"/>
      <c r="D130" s="29"/>
      <c r="E130" s="29"/>
      <c r="F130" s="29"/>
      <c r="G130" s="29"/>
      <c r="H130" s="29"/>
      <c r="I130" s="29"/>
      <c r="J130" s="98" t="str" cm="1">
        <f t="array" ref="J130">IF(ISBLANK($C130),"",SUMPRODUCT(--(LEFT(D130:I130, 1) = "*"))*50)</f>
        <v/>
      </c>
    </row>
    <row r="131" spans="1:10" ht="27" customHeight="1">
      <c r="A131" s="29"/>
      <c r="B131" s="98" t="str">
        <f t="shared" ref="B131:B194" si="2">IF(ISBLANK($C131),"","MCQ")</f>
        <v/>
      </c>
      <c r="C131" s="29"/>
      <c r="D131" s="29"/>
      <c r="E131" s="29"/>
      <c r="F131" s="29"/>
      <c r="G131" s="29"/>
      <c r="H131" s="29"/>
      <c r="I131" s="29"/>
      <c r="J131" s="98" t="str" cm="1">
        <f t="array" ref="J131">IF(ISBLANK($C131),"",SUMPRODUCT(--(LEFT(D131:I131, 1) = "*"))*50)</f>
        <v/>
      </c>
    </row>
    <row r="132" spans="1:10" ht="27" customHeight="1">
      <c r="A132" s="29"/>
      <c r="B132" s="98" t="str">
        <f t="shared" si="2"/>
        <v/>
      </c>
      <c r="C132" s="29"/>
      <c r="D132" s="29"/>
      <c r="E132" s="29"/>
      <c r="F132" s="29"/>
      <c r="G132" s="29"/>
      <c r="H132" s="29"/>
      <c r="I132" s="29"/>
      <c r="J132" s="98" t="str" cm="1">
        <f t="array" ref="J132">IF(ISBLANK($C132),"",SUMPRODUCT(--(LEFT(D132:I132, 1) = "*"))*50)</f>
        <v/>
      </c>
    </row>
    <row r="133" spans="1:10" ht="27" customHeight="1">
      <c r="A133" s="29"/>
      <c r="B133" s="98" t="str">
        <f t="shared" si="2"/>
        <v/>
      </c>
      <c r="C133" s="29"/>
      <c r="D133" s="29"/>
      <c r="E133" s="29"/>
      <c r="F133" s="29"/>
      <c r="G133" s="29"/>
      <c r="H133" s="29"/>
      <c r="I133" s="29"/>
      <c r="J133" s="98" t="str" cm="1">
        <f t="array" ref="J133">IF(ISBLANK($C133),"",SUMPRODUCT(--(LEFT(D133:I133, 1) = "*"))*50)</f>
        <v/>
      </c>
    </row>
    <row r="134" spans="1:10" ht="27" customHeight="1">
      <c r="A134" s="29"/>
      <c r="B134" s="98" t="str">
        <f t="shared" si="2"/>
        <v/>
      </c>
      <c r="C134" s="29"/>
      <c r="D134" s="29"/>
      <c r="E134" s="29"/>
      <c r="F134" s="29"/>
      <c r="G134" s="29"/>
      <c r="H134" s="29"/>
      <c r="I134" s="29"/>
      <c r="J134" s="98" t="str" cm="1">
        <f t="array" ref="J134">IF(ISBLANK($C134),"",SUMPRODUCT(--(LEFT(D134:I134, 1) = "*"))*50)</f>
        <v/>
      </c>
    </row>
    <row r="135" spans="1:10" ht="27" customHeight="1">
      <c r="A135" s="29"/>
      <c r="B135" s="98" t="str">
        <f t="shared" si="2"/>
        <v/>
      </c>
      <c r="C135" s="29"/>
      <c r="D135" s="29"/>
      <c r="E135" s="29"/>
      <c r="F135" s="29"/>
      <c r="G135" s="29"/>
      <c r="H135" s="29"/>
      <c r="I135" s="29"/>
      <c r="J135" s="98" t="str" cm="1">
        <f t="array" ref="J135">IF(ISBLANK($C135),"",SUMPRODUCT(--(LEFT(D135:I135, 1) = "*"))*50)</f>
        <v/>
      </c>
    </row>
    <row r="136" spans="1:10" ht="27" customHeight="1">
      <c r="A136" s="29"/>
      <c r="B136" s="98" t="str">
        <f t="shared" si="2"/>
        <v/>
      </c>
      <c r="C136" s="29"/>
      <c r="D136" s="29"/>
      <c r="E136" s="29"/>
      <c r="F136" s="29"/>
      <c r="G136" s="29"/>
      <c r="H136" s="29"/>
      <c r="I136" s="29"/>
      <c r="J136" s="98" t="str" cm="1">
        <f t="array" ref="J136">IF(ISBLANK($C136),"",SUMPRODUCT(--(LEFT(D136:I136, 1) = "*"))*50)</f>
        <v/>
      </c>
    </row>
    <row r="137" spans="1:10" ht="27" customHeight="1">
      <c r="A137" s="29"/>
      <c r="B137" s="98" t="str">
        <f t="shared" si="2"/>
        <v/>
      </c>
      <c r="C137" s="29"/>
      <c r="D137" s="29"/>
      <c r="E137" s="29"/>
      <c r="F137" s="29"/>
      <c r="G137" s="29"/>
      <c r="H137" s="29"/>
      <c r="I137" s="29"/>
      <c r="J137" s="98" t="str" cm="1">
        <f t="array" ref="J137">IF(ISBLANK($C137),"",SUMPRODUCT(--(LEFT(D137:I137, 1) = "*"))*50)</f>
        <v/>
      </c>
    </row>
    <row r="138" spans="1:10" ht="27" customHeight="1">
      <c r="A138" s="29"/>
      <c r="B138" s="98" t="str">
        <f t="shared" si="2"/>
        <v/>
      </c>
      <c r="C138" s="29"/>
      <c r="D138" s="29"/>
      <c r="E138" s="29"/>
      <c r="F138" s="29"/>
      <c r="G138" s="29"/>
      <c r="H138" s="29"/>
      <c r="I138" s="29"/>
      <c r="J138" s="98" t="str" cm="1">
        <f t="array" ref="J138">IF(ISBLANK($C138),"",SUMPRODUCT(--(LEFT(D138:I138, 1) = "*"))*50)</f>
        <v/>
      </c>
    </row>
    <row r="139" spans="1:10" ht="27" customHeight="1">
      <c r="A139" s="29"/>
      <c r="B139" s="98" t="str">
        <f t="shared" si="2"/>
        <v/>
      </c>
      <c r="C139" s="29"/>
      <c r="D139" s="29"/>
      <c r="E139" s="29"/>
      <c r="F139" s="29"/>
      <c r="G139" s="29"/>
      <c r="H139" s="29"/>
      <c r="I139" s="29"/>
      <c r="J139" s="98" t="str" cm="1">
        <f t="array" ref="J139">IF(ISBLANK($C139),"",SUMPRODUCT(--(LEFT(D139:I139, 1) = "*"))*50)</f>
        <v/>
      </c>
    </row>
    <row r="140" spans="1:10" ht="27" customHeight="1">
      <c r="A140" s="29"/>
      <c r="B140" s="98" t="str">
        <f t="shared" si="2"/>
        <v/>
      </c>
      <c r="C140" s="29"/>
      <c r="D140" s="29"/>
      <c r="E140" s="29"/>
      <c r="F140" s="29"/>
      <c r="G140" s="29"/>
      <c r="H140" s="29"/>
      <c r="I140" s="29"/>
      <c r="J140" s="98" t="str" cm="1">
        <f t="array" ref="J140">IF(ISBLANK($C140),"",SUMPRODUCT(--(LEFT(D140:I140, 1) = "*"))*50)</f>
        <v/>
      </c>
    </row>
    <row r="141" spans="1:10" ht="27" customHeight="1">
      <c r="A141" s="29"/>
      <c r="B141" s="98" t="str">
        <f t="shared" si="2"/>
        <v/>
      </c>
      <c r="C141" s="29"/>
      <c r="D141" s="29"/>
      <c r="E141" s="29"/>
      <c r="F141" s="29"/>
      <c r="G141" s="29"/>
      <c r="H141" s="29"/>
      <c r="I141" s="29"/>
      <c r="J141" s="98" t="str" cm="1">
        <f t="array" ref="J141">IF(ISBLANK($C141),"",SUMPRODUCT(--(LEFT(D141:I141, 1) = "*"))*50)</f>
        <v/>
      </c>
    </row>
    <row r="142" spans="1:10" ht="27" customHeight="1">
      <c r="A142" s="29"/>
      <c r="B142" s="98" t="str">
        <f t="shared" si="2"/>
        <v/>
      </c>
      <c r="C142" s="29"/>
      <c r="D142" s="29"/>
      <c r="E142" s="29"/>
      <c r="F142" s="29"/>
      <c r="G142" s="29"/>
      <c r="H142" s="29"/>
      <c r="I142" s="29"/>
      <c r="J142" s="98" t="str" cm="1">
        <f t="array" ref="J142">IF(ISBLANK($C142),"",SUMPRODUCT(--(LEFT(D142:I142, 1) = "*"))*50)</f>
        <v/>
      </c>
    </row>
    <row r="143" spans="1:10" ht="27" customHeight="1">
      <c r="A143" s="29"/>
      <c r="B143" s="98" t="str">
        <f t="shared" si="2"/>
        <v/>
      </c>
      <c r="C143" s="29"/>
      <c r="D143" s="29"/>
      <c r="E143" s="29"/>
      <c r="F143" s="29"/>
      <c r="G143" s="29"/>
      <c r="H143" s="29"/>
      <c r="I143" s="29"/>
      <c r="J143" s="98" t="str" cm="1">
        <f t="array" ref="J143">IF(ISBLANK($C143),"",SUMPRODUCT(--(LEFT(D143:I143, 1) = "*"))*50)</f>
        <v/>
      </c>
    </row>
    <row r="144" spans="1:10" ht="27" customHeight="1">
      <c r="A144" s="29"/>
      <c r="B144" s="98" t="str">
        <f t="shared" si="2"/>
        <v/>
      </c>
      <c r="C144" s="29"/>
      <c r="D144" s="29"/>
      <c r="E144" s="29"/>
      <c r="F144" s="29"/>
      <c r="G144" s="29"/>
      <c r="H144" s="29"/>
      <c r="I144" s="29"/>
      <c r="J144" s="98" t="str" cm="1">
        <f t="array" ref="J144">IF(ISBLANK($C144),"",SUMPRODUCT(--(LEFT(D144:I144, 1) = "*"))*50)</f>
        <v/>
      </c>
    </row>
    <row r="145" spans="1:10" ht="27" customHeight="1">
      <c r="A145" s="29"/>
      <c r="B145" s="98" t="str">
        <f t="shared" si="2"/>
        <v/>
      </c>
      <c r="C145" s="29"/>
      <c r="D145" s="29"/>
      <c r="E145" s="29"/>
      <c r="F145" s="29"/>
      <c r="G145" s="29"/>
      <c r="H145" s="29"/>
      <c r="I145" s="29"/>
      <c r="J145" s="98" t="str" cm="1">
        <f t="array" ref="J145">IF(ISBLANK($C145),"",SUMPRODUCT(--(LEFT(D145:I145, 1) = "*"))*50)</f>
        <v/>
      </c>
    </row>
    <row r="146" spans="1:10" ht="27" customHeight="1">
      <c r="A146" s="29"/>
      <c r="B146" s="98" t="str">
        <f t="shared" si="2"/>
        <v/>
      </c>
      <c r="C146" s="29"/>
      <c r="D146" s="29"/>
      <c r="E146" s="29"/>
      <c r="F146" s="29"/>
      <c r="G146" s="29"/>
      <c r="H146" s="29"/>
      <c r="I146" s="29"/>
      <c r="J146" s="98" t="str" cm="1">
        <f t="array" ref="J146">IF(ISBLANK($C146),"",SUMPRODUCT(--(LEFT(D146:I146, 1) = "*"))*50)</f>
        <v/>
      </c>
    </row>
    <row r="147" spans="1:10" ht="27" customHeight="1">
      <c r="A147" s="29"/>
      <c r="B147" s="98" t="str">
        <f t="shared" si="2"/>
        <v/>
      </c>
      <c r="C147" s="29"/>
      <c r="D147" s="29"/>
      <c r="E147" s="29"/>
      <c r="F147" s="29"/>
      <c r="G147" s="29"/>
      <c r="H147" s="29"/>
      <c r="I147" s="29"/>
      <c r="J147" s="98" t="str" cm="1">
        <f t="array" ref="J147">IF(ISBLANK($C147),"",SUMPRODUCT(--(LEFT(D147:I147, 1) = "*"))*50)</f>
        <v/>
      </c>
    </row>
    <row r="148" spans="1:10" ht="27" customHeight="1">
      <c r="A148" s="29"/>
      <c r="B148" s="98" t="str">
        <f t="shared" si="2"/>
        <v/>
      </c>
      <c r="C148" s="29"/>
      <c r="D148" s="29"/>
      <c r="E148" s="29"/>
      <c r="F148" s="29"/>
      <c r="G148" s="29"/>
      <c r="H148" s="29"/>
      <c r="I148" s="29"/>
      <c r="J148" s="98" t="str" cm="1">
        <f t="array" ref="J148">IF(ISBLANK($C148),"",SUMPRODUCT(--(LEFT(D148:I148, 1) = "*"))*50)</f>
        <v/>
      </c>
    </row>
    <row r="149" spans="1:10" ht="27" customHeight="1">
      <c r="A149" s="29"/>
      <c r="B149" s="98" t="str">
        <f t="shared" si="2"/>
        <v/>
      </c>
      <c r="C149" s="29"/>
      <c r="D149" s="29"/>
      <c r="E149" s="29"/>
      <c r="F149" s="29"/>
      <c r="G149" s="29"/>
      <c r="H149" s="29"/>
      <c r="I149" s="29"/>
      <c r="J149" s="98" t="str" cm="1">
        <f t="array" ref="J149">IF(ISBLANK($C149),"",SUMPRODUCT(--(LEFT(D149:I149, 1) = "*"))*50)</f>
        <v/>
      </c>
    </row>
    <row r="150" spans="1:10" ht="27" customHeight="1">
      <c r="A150" s="29"/>
      <c r="B150" s="98" t="str">
        <f t="shared" si="2"/>
        <v/>
      </c>
      <c r="C150" s="29"/>
      <c r="D150" s="29"/>
      <c r="E150" s="29"/>
      <c r="F150" s="29"/>
      <c r="G150" s="29"/>
      <c r="H150" s="29"/>
      <c r="I150" s="29"/>
      <c r="J150" s="98" t="str" cm="1">
        <f t="array" ref="J150">IF(ISBLANK($C150),"",SUMPRODUCT(--(LEFT(D150:I150, 1) = "*"))*50)</f>
        <v/>
      </c>
    </row>
    <row r="151" spans="1:10" ht="27" customHeight="1">
      <c r="A151" s="29"/>
      <c r="B151" s="98" t="str">
        <f t="shared" si="2"/>
        <v/>
      </c>
      <c r="C151" s="29"/>
      <c r="D151" s="29"/>
      <c r="E151" s="29"/>
      <c r="F151" s="29"/>
      <c r="G151" s="29"/>
      <c r="H151" s="29"/>
      <c r="I151" s="29"/>
      <c r="J151" s="98" t="str" cm="1">
        <f t="array" ref="J151">IF(ISBLANK($C151),"",SUMPRODUCT(--(LEFT(D151:I151, 1) = "*"))*50)</f>
        <v/>
      </c>
    </row>
    <row r="152" spans="1:10" ht="27" customHeight="1">
      <c r="A152" s="29"/>
      <c r="B152" s="98" t="str">
        <f t="shared" si="2"/>
        <v/>
      </c>
      <c r="C152" s="29"/>
      <c r="D152" s="29"/>
      <c r="E152" s="29"/>
      <c r="F152" s="29"/>
      <c r="G152" s="29"/>
      <c r="H152" s="29"/>
      <c r="I152" s="29"/>
      <c r="J152" s="98" t="str" cm="1">
        <f t="array" ref="J152">IF(ISBLANK($C152),"",SUMPRODUCT(--(LEFT(D152:I152, 1) = "*"))*50)</f>
        <v/>
      </c>
    </row>
    <row r="153" spans="1:10" ht="27" customHeight="1">
      <c r="A153" s="29"/>
      <c r="B153" s="98" t="str">
        <f t="shared" si="2"/>
        <v/>
      </c>
      <c r="C153" s="29"/>
      <c r="D153" s="29"/>
      <c r="E153" s="29"/>
      <c r="F153" s="29"/>
      <c r="G153" s="29"/>
      <c r="H153" s="29"/>
      <c r="I153" s="29"/>
      <c r="J153" s="98" t="str" cm="1">
        <f t="array" ref="J153">IF(ISBLANK($C153),"",SUMPRODUCT(--(LEFT(D153:I153, 1) = "*"))*50)</f>
        <v/>
      </c>
    </row>
    <row r="154" spans="1:10" ht="27" customHeight="1">
      <c r="A154" s="29"/>
      <c r="B154" s="98" t="str">
        <f t="shared" si="2"/>
        <v/>
      </c>
      <c r="C154" s="29"/>
      <c r="D154" s="29"/>
      <c r="E154" s="29"/>
      <c r="F154" s="29"/>
      <c r="G154" s="29"/>
      <c r="H154" s="29"/>
      <c r="I154" s="29"/>
      <c r="J154" s="98" t="str" cm="1">
        <f t="array" ref="J154">IF(ISBLANK($C154),"",SUMPRODUCT(--(LEFT(D154:I154, 1) = "*"))*50)</f>
        <v/>
      </c>
    </row>
    <row r="155" spans="1:10" ht="27" customHeight="1">
      <c r="A155" s="29"/>
      <c r="B155" s="98" t="str">
        <f t="shared" si="2"/>
        <v/>
      </c>
      <c r="C155" s="29"/>
      <c r="D155" s="29"/>
      <c r="E155" s="29"/>
      <c r="F155" s="29"/>
      <c r="G155" s="29"/>
      <c r="H155" s="29"/>
      <c r="I155" s="29"/>
      <c r="J155" s="98" t="str" cm="1">
        <f t="array" ref="J155">IF(ISBLANK($C155),"",SUMPRODUCT(--(LEFT(D155:I155, 1) = "*"))*50)</f>
        <v/>
      </c>
    </row>
    <row r="156" spans="1:10" ht="27" customHeight="1">
      <c r="A156" s="29"/>
      <c r="B156" s="98" t="str">
        <f t="shared" si="2"/>
        <v/>
      </c>
      <c r="C156" s="29"/>
      <c r="D156" s="29"/>
      <c r="E156" s="29"/>
      <c r="F156" s="29"/>
      <c r="G156" s="29"/>
      <c r="H156" s="29"/>
      <c r="I156" s="29"/>
      <c r="J156" s="98" t="str" cm="1">
        <f t="array" ref="J156">IF(ISBLANK($C156),"",SUMPRODUCT(--(LEFT(D156:I156, 1) = "*"))*50)</f>
        <v/>
      </c>
    </row>
    <row r="157" spans="1:10" ht="27" customHeight="1">
      <c r="A157" s="29"/>
      <c r="B157" s="98" t="str">
        <f t="shared" si="2"/>
        <v/>
      </c>
      <c r="C157" s="29"/>
      <c r="D157" s="29"/>
      <c r="E157" s="29"/>
      <c r="F157" s="29"/>
      <c r="G157" s="29"/>
      <c r="H157" s="29"/>
      <c r="I157" s="29"/>
      <c r="J157" s="98" t="str" cm="1">
        <f t="array" ref="J157">IF(ISBLANK($C157),"",SUMPRODUCT(--(LEFT(D157:I157, 1) = "*"))*50)</f>
        <v/>
      </c>
    </row>
    <row r="158" spans="1:10" ht="27" customHeight="1">
      <c r="A158" s="29"/>
      <c r="B158" s="98" t="str">
        <f t="shared" si="2"/>
        <v/>
      </c>
      <c r="C158" s="29"/>
      <c r="D158" s="29"/>
      <c r="E158" s="29"/>
      <c r="F158" s="29"/>
      <c r="G158" s="29"/>
      <c r="H158" s="29"/>
      <c r="I158" s="29"/>
      <c r="J158" s="98" t="str" cm="1">
        <f t="array" ref="J158">IF(ISBLANK($C158),"",SUMPRODUCT(--(LEFT(D158:I158, 1) = "*"))*50)</f>
        <v/>
      </c>
    </row>
    <row r="159" spans="1:10" ht="27" customHeight="1">
      <c r="A159" s="29"/>
      <c r="B159" s="98" t="str">
        <f t="shared" si="2"/>
        <v/>
      </c>
      <c r="C159" s="29"/>
      <c r="D159" s="29"/>
      <c r="E159" s="29"/>
      <c r="F159" s="29"/>
      <c r="G159" s="29"/>
      <c r="H159" s="29"/>
      <c r="I159" s="29"/>
      <c r="J159" s="98" t="str" cm="1">
        <f t="array" ref="J159">IF(ISBLANK($C159),"",SUMPRODUCT(--(LEFT(D159:I159, 1) = "*"))*50)</f>
        <v/>
      </c>
    </row>
    <row r="160" spans="1:10" ht="27" customHeight="1">
      <c r="A160" s="29"/>
      <c r="B160" s="98" t="str">
        <f t="shared" si="2"/>
        <v/>
      </c>
      <c r="C160" s="29"/>
      <c r="D160" s="29"/>
      <c r="E160" s="29"/>
      <c r="F160" s="29"/>
      <c r="G160" s="29"/>
      <c r="H160" s="29"/>
      <c r="I160" s="29"/>
      <c r="J160" s="98" t="str" cm="1">
        <f t="array" ref="J160">IF(ISBLANK($C160),"",SUMPRODUCT(--(LEFT(D160:I160, 1) = "*"))*50)</f>
        <v/>
      </c>
    </row>
    <row r="161" spans="1:10" ht="27" customHeight="1">
      <c r="A161" s="29"/>
      <c r="B161" s="98" t="str">
        <f t="shared" si="2"/>
        <v/>
      </c>
      <c r="C161" s="29"/>
      <c r="D161" s="29"/>
      <c r="E161" s="29"/>
      <c r="F161" s="29"/>
      <c r="G161" s="29"/>
      <c r="H161" s="29"/>
      <c r="I161" s="29"/>
      <c r="J161" s="98" t="str" cm="1">
        <f t="array" ref="J161">IF(ISBLANK($C161),"",SUMPRODUCT(--(LEFT(D161:I161, 1) = "*"))*50)</f>
        <v/>
      </c>
    </row>
    <row r="162" spans="1:10" ht="27" customHeight="1">
      <c r="A162" s="29"/>
      <c r="B162" s="98" t="str">
        <f t="shared" si="2"/>
        <v/>
      </c>
      <c r="C162" s="29"/>
      <c r="D162" s="29"/>
      <c r="E162" s="29"/>
      <c r="F162" s="29"/>
      <c r="G162" s="29"/>
      <c r="H162" s="29"/>
      <c r="I162" s="29"/>
      <c r="J162" s="98" t="str" cm="1">
        <f t="array" ref="J162">IF(ISBLANK($C162),"",SUMPRODUCT(--(LEFT(D162:I162, 1) = "*"))*50)</f>
        <v/>
      </c>
    </row>
    <row r="163" spans="1:10" ht="27" customHeight="1">
      <c r="A163" s="29"/>
      <c r="B163" s="98" t="str">
        <f t="shared" si="2"/>
        <v/>
      </c>
      <c r="C163" s="29"/>
      <c r="D163" s="29"/>
      <c r="E163" s="29"/>
      <c r="F163" s="29"/>
      <c r="G163" s="29"/>
      <c r="H163" s="29"/>
      <c r="I163" s="29"/>
      <c r="J163" s="98" t="str" cm="1">
        <f t="array" ref="J163">IF(ISBLANK($C163),"",SUMPRODUCT(--(LEFT(D163:I163, 1) = "*"))*50)</f>
        <v/>
      </c>
    </row>
    <row r="164" spans="1:10" ht="27" customHeight="1">
      <c r="A164" s="29"/>
      <c r="B164" s="98" t="str">
        <f t="shared" si="2"/>
        <v/>
      </c>
      <c r="C164" s="29"/>
      <c r="D164" s="29"/>
      <c r="E164" s="29"/>
      <c r="F164" s="29"/>
      <c r="G164" s="29"/>
      <c r="H164" s="29"/>
      <c r="I164" s="29"/>
      <c r="J164" s="98" t="str" cm="1">
        <f t="array" ref="J164">IF(ISBLANK($C164),"",SUMPRODUCT(--(LEFT(D164:I164, 1) = "*"))*50)</f>
        <v/>
      </c>
    </row>
    <row r="165" spans="1:10" ht="27" customHeight="1">
      <c r="A165" s="29"/>
      <c r="B165" s="98" t="str">
        <f t="shared" si="2"/>
        <v/>
      </c>
      <c r="C165" s="29"/>
      <c r="D165" s="29"/>
      <c r="E165" s="29"/>
      <c r="F165" s="29"/>
      <c r="G165" s="29"/>
      <c r="H165" s="29"/>
      <c r="I165" s="29"/>
      <c r="J165" s="98" t="str" cm="1">
        <f t="array" ref="J165">IF(ISBLANK($C165),"",SUMPRODUCT(--(LEFT(D165:I165, 1) = "*"))*50)</f>
        <v/>
      </c>
    </row>
    <row r="166" spans="1:10" ht="27" customHeight="1">
      <c r="A166" s="29"/>
      <c r="B166" s="98" t="str">
        <f t="shared" si="2"/>
        <v/>
      </c>
      <c r="C166" s="29"/>
      <c r="D166" s="29"/>
      <c r="E166" s="29"/>
      <c r="F166" s="29"/>
      <c r="G166" s="29"/>
      <c r="H166" s="29"/>
      <c r="I166" s="29"/>
      <c r="J166" s="98" t="str" cm="1">
        <f t="array" ref="J166">IF(ISBLANK($C166),"",SUMPRODUCT(--(LEFT(D166:I166, 1) = "*"))*50)</f>
        <v/>
      </c>
    </row>
    <row r="167" spans="1:10" ht="27" customHeight="1">
      <c r="A167" s="29"/>
      <c r="B167" s="98" t="str">
        <f t="shared" si="2"/>
        <v/>
      </c>
      <c r="C167" s="29"/>
      <c r="D167" s="29"/>
      <c r="E167" s="29"/>
      <c r="F167" s="29"/>
      <c r="G167" s="29"/>
      <c r="H167" s="29"/>
      <c r="I167" s="29"/>
      <c r="J167" s="98" t="str" cm="1">
        <f t="array" ref="J167">IF(ISBLANK($C167),"",SUMPRODUCT(--(LEFT(D167:I167, 1) = "*"))*50)</f>
        <v/>
      </c>
    </row>
    <row r="168" spans="1:10" ht="27" customHeight="1">
      <c r="A168" s="29"/>
      <c r="B168" s="98" t="str">
        <f t="shared" si="2"/>
        <v/>
      </c>
      <c r="C168" s="29"/>
      <c r="D168" s="29"/>
      <c r="E168" s="29"/>
      <c r="F168" s="29"/>
      <c r="G168" s="29"/>
      <c r="H168" s="29"/>
      <c r="I168" s="29"/>
      <c r="J168" s="98" t="str" cm="1">
        <f t="array" ref="J168">IF(ISBLANK($C168),"",SUMPRODUCT(--(LEFT(D168:I168, 1) = "*"))*50)</f>
        <v/>
      </c>
    </row>
    <row r="169" spans="1:10" ht="27" customHeight="1">
      <c r="A169" s="29"/>
      <c r="B169" s="98" t="str">
        <f t="shared" si="2"/>
        <v/>
      </c>
      <c r="C169" s="29"/>
      <c r="D169" s="29"/>
      <c r="E169" s="29"/>
      <c r="F169" s="29"/>
      <c r="G169" s="29"/>
      <c r="H169" s="29"/>
      <c r="I169" s="29"/>
      <c r="J169" s="98" t="str" cm="1">
        <f t="array" ref="J169">IF(ISBLANK($C169),"",SUMPRODUCT(--(LEFT(D169:I169, 1) = "*"))*50)</f>
        <v/>
      </c>
    </row>
    <row r="170" spans="1:10" ht="27" customHeight="1">
      <c r="A170" s="29"/>
      <c r="B170" s="98" t="str">
        <f t="shared" si="2"/>
        <v/>
      </c>
      <c r="C170" s="29"/>
      <c r="D170" s="29"/>
      <c r="E170" s="29"/>
      <c r="F170" s="29"/>
      <c r="G170" s="29"/>
      <c r="H170" s="29"/>
      <c r="I170" s="29"/>
      <c r="J170" s="98" t="str" cm="1">
        <f t="array" ref="J170">IF(ISBLANK($C170),"",SUMPRODUCT(--(LEFT(D170:I170, 1) = "*"))*50)</f>
        <v/>
      </c>
    </row>
    <row r="171" spans="1:10" ht="27" customHeight="1">
      <c r="A171" s="29"/>
      <c r="B171" s="98" t="str">
        <f t="shared" si="2"/>
        <v/>
      </c>
      <c r="C171" s="29"/>
      <c r="D171" s="29"/>
      <c r="E171" s="29"/>
      <c r="F171" s="29"/>
      <c r="G171" s="29"/>
      <c r="H171" s="29"/>
      <c r="I171" s="29"/>
      <c r="J171" s="98" t="str" cm="1">
        <f t="array" ref="J171">IF(ISBLANK($C171),"",SUMPRODUCT(--(LEFT(D171:I171, 1) = "*"))*50)</f>
        <v/>
      </c>
    </row>
    <row r="172" spans="1:10" ht="27" customHeight="1">
      <c r="A172" s="29"/>
      <c r="B172" s="98" t="str">
        <f t="shared" si="2"/>
        <v/>
      </c>
      <c r="C172" s="29"/>
      <c r="D172" s="29"/>
      <c r="E172" s="29"/>
      <c r="F172" s="29"/>
      <c r="G172" s="29"/>
      <c r="H172" s="29"/>
      <c r="I172" s="29"/>
      <c r="J172" s="98" t="str" cm="1">
        <f t="array" ref="J172">IF(ISBLANK($C172),"",SUMPRODUCT(--(LEFT(D172:I172, 1) = "*"))*50)</f>
        <v/>
      </c>
    </row>
    <row r="173" spans="1:10" ht="27" customHeight="1">
      <c r="A173" s="29"/>
      <c r="B173" s="98" t="str">
        <f t="shared" si="2"/>
        <v/>
      </c>
      <c r="C173" s="29"/>
      <c r="D173" s="29"/>
      <c r="E173" s="29"/>
      <c r="F173" s="29"/>
      <c r="G173" s="29"/>
      <c r="H173" s="29"/>
      <c r="I173" s="29"/>
      <c r="J173" s="98" t="str" cm="1">
        <f t="array" ref="J173">IF(ISBLANK($C173),"",SUMPRODUCT(--(LEFT(D173:I173, 1) = "*"))*50)</f>
        <v/>
      </c>
    </row>
    <row r="174" spans="1:10" ht="27" customHeight="1">
      <c r="A174" s="29"/>
      <c r="B174" s="98" t="str">
        <f t="shared" si="2"/>
        <v/>
      </c>
      <c r="C174" s="29"/>
      <c r="D174" s="29"/>
      <c r="E174" s="29"/>
      <c r="F174" s="29"/>
      <c r="G174" s="29"/>
      <c r="H174" s="29"/>
      <c r="I174" s="29"/>
      <c r="J174" s="98" t="str" cm="1">
        <f t="array" ref="J174">IF(ISBLANK($C174),"",SUMPRODUCT(--(LEFT(D174:I174, 1) = "*"))*50)</f>
        <v/>
      </c>
    </row>
    <row r="175" spans="1:10" ht="27" customHeight="1">
      <c r="A175" s="29"/>
      <c r="B175" s="98" t="str">
        <f t="shared" si="2"/>
        <v/>
      </c>
      <c r="C175" s="29"/>
      <c r="D175" s="29"/>
      <c r="E175" s="29"/>
      <c r="F175" s="29"/>
      <c r="G175" s="29"/>
      <c r="H175" s="29"/>
      <c r="I175" s="29"/>
      <c r="J175" s="98" t="str" cm="1">
        <f t="array" ref="J175">IF(ISBLANK($C175),"",SUMPRODUCT(--(LEFT(D175:I175, 1) = "*"))*50)</f>
        <v/>
      </c>
    </row>
    <row r="176" spans="1:10" ht="27" customHeight="1">
      <c r="A176" s="29"/>
      <c r="B176" s="98" t="str">
        <f t="shared" si="2"/>
        <v/>
      </c>
      <c r="C176" s="29"/>
      <c r="D176" s="29"/>
      <c r="E176" s="29"/>
      <c r="F176" s="29"/>
      <c r="G176" s="29"/>
      <c r="H176" s="29"/>
      <c r="I176" s="29"/>
      <c r="J176" s="98" t="str" cm="1">
        <f t="array" ref="J176">IF(ISBLANK($C176),"",SUMPRODUCT(--(LEFT(D176:I176, 1) = "*"))*50)</f>
        <v/>
      </c>
    </row>
    <row r="177" spans="1:10" ht="27" customHeight="1">
      <c r="A177" s="29"/>
      <c r="B177" s="98" t="str">
        <f t="shared" si="2"/>
        <v/>
      </c>
      <c r="C177" s="29"/>
      <c r="D177" s="29"/>
      <c r="E177" s="29"/>
      <c r="F177" s="29"/>
      <c r="G177" s="29"/>
      <c r="H177" s="29"/>
      <c r="I177" s="29"/>
      <c r="J177" s="98" t="str" cm="1">
        <f t="array" ref="J177">IF(ISBLANK($C177),"",SUMPRODUCT(--(LEFT(D177:I177, 1) = "*"))*50)</f>
        <v/>
      </c>
    </row>
    <row r="178" spans="1:10" ht="27" customHeight="1">
      <c r="A178" s="29"/>
      <c r="B178" s="98" t="str">
        <f t="shared" si="2"/>
        <v/>
      </c>
      <c r="C178" s="29"/>
      <c r="D178" s="29"/>
      <c r="E178" s="29"/>
      <c r="F178" s="29"/>
      <c r="G178" s="29"/>
      <c r="H178" s="29"/>
      <c r="I178" s="29"/>
      <c r="J178" s="98" t="str" cm="1">
        <f t="array" ref="J178">IF(ISBLANK($C178),"",SUMPRODUCT(--(LEFT(D178:I178, 1) = "*"))*50)</f>
        <v/>
      </c>
    </row>
    <row r="179" spans="1:10" ht="27" customHeight="1">
      <c r="A179" s="29"/>
      <c r="B179" s="98" t="str">
        <f t="shared" si="2"/>
        <v/>
      </c>
      <c r="C179" s="29"/>
      <c r="D179" s="29"/>
      <c r="E179" s="29"/>
      <c r="F179" s="29"/>
      <c r="G179" s="29"/>
      <c r="H179" s="29"/>
      <c r="I179" s="29"/>
      <c r="J179" s="98" t="str" cm="1">
        <f t="array" ref="J179">IF(ISBLANK($C179),"",SUMPRODUCT(--(LEFT(D179:I179, 1) = "*"))*50)</f>
        <v/>
      </c>
    </row>
    <row r="180" spans="1:10" ht="27" customHeight="1">
      <c r="A180" s="29"/>
      <c r="B180" s="98" t="str">
        <f t="shared" si="2"/>
        <v/>
      </c>
      <c r="C180" s="29"/>
      <c r="D180" s="29"/>
      <c r="E180" s="29"/>
      <c r="F180" s="29"/>
      <c r="G180" s="29"/>
      <c r="H180" s="29"/>
      <c r="I180" s="29"/>
      <c r="J180" s="98" t="str" cm="1">
        <f t="array" ref="J180">IF(ISBLANK($C180),"",SUMPRODUCT(--(LEFT(D180:I180, 1) = "*"))*50)</f>
        <v/>
      </c>
    </row>
    <row r="181" spans="1:10" ht="27" customHeight="1">
      <c r="A181" s="29"/>
      <c r="B181" s="98" t="str">
        <f t="shared" si="2"/>
        <v/>
      </c>
      <c r="C181" s="29"/>
      <c r="D181" s="29"/>
      <c r="E181" s="29"/>
      <c r="F181" s="29"/>
      <c r="G181" s="29"/>
      <c r="H181" s="29"/>
      <c r="I181" s="29"/>
      <c r="J181" s="98" t="str" cm="1">
        <f t="array" ref="J181">IF(ISBLANK($C181),"",SUMPRODUCT(--(LEFT(D181:I181, 1) = "*"))*50)</f>
        <v/>
      </c>
    </row>
    <row r="182" spans="1:10" ht="27" customHeight="1">
      <c r="A182" s="29"/>
      <c r="B182" s="98" t="str">
        <f t="shared" si="2"/>
        <v/>
      </c>
      <c r="C182" s="29"/>
      <c r="D182" s="29"/>
      <c r="E182" s="29"/>
      <c r="F182" s="29"/>
      <c r="G182" s="29"/>
      <c r="H182" s="29"/>
      <c r="I182" s="29"/>
      <c r="J182" s="98" t="str" cm="1">
        <f t="array" ref="J182">IF(ISBLANK($C182),"",SUMPRODUCT(--(LEFT(D182:I182, 1) = "*"))*50)</f>
        <v/>
      </c>
    </row>
    <row r="183" spans="1:10" ht="27" customHeight="1">
      <c r="A183" s="29"/>
      <c r="B183" s="98" t="str">
        <f t="shared" si="2"/>
        <v/>
      </c>
      <c r="C183" s="29"/>
      <c r="D183" s="29"/>
      <c r="E183" s="29"/>
      <c r="F183" s="29"/>
      <c r="G183" s="29"/>
      <c r="H183" s="29"/>
      <c r="I183" s="29"/>
      <c r="J183" s="98" t="str" cm="1">
        <f t="array" ref="J183">IF(ISBLANK($C183),"",SUMPRODUCT(--(LEFT(D183:I183, 1) = "*"))*50)</f>
        <v/>
      </c>
    </row>
    <row r="184" spans="1:10" ht="27" customHeight="1">
      <c r="A184" s="29"/>
      <c r="B184" s="98" t="str">
        <f t="shared" si="2"/>
        <v/>
      </c>
      <c r="C184" s="29"/>
      <c r="D184" s="29"/>
      <c r="E184" s="29"/>
      <c r="F184" s="29"/>
      <c r="G184" s="29"/>
      <c r="H184" s="29"/>
      <c r="I184" s="29"/>
      <c r="J184" s="98" t="str" cm="1">
        <f t="array" ref="J184">IF(ISBLANK($C184),"",SUMPRODUCT(--(LEFT(D184:I184, 1) = "*"))*50)</f>
        <v/>
      </c>
    </row>
    <row r="185" spans="1:10" ht="27" customHeight="1">
      <c r="A185" s="29"/>
      <c r="B185" s="98" t="str">
        <f t="shared" si="2"/>
        <v/>
      </c>
      <c r="C185" s="29"/>
      <c r="D185" s="29"/>
      <c r="E185" s="29"/>
      <c r="F185" s="29"/>
      <c r="G185" s="29"/>
      <c r="H185" s="29"/>
      <c r="I185" s="29"/>
      <c r="J185" s="98" t="str" cm="1">
        <f t="array" ref="J185">IF(ISBLANK($C185),"",SUMPRODUCT(--(LEFT(D185:I185, 1) = "*"))*50)</f>
        <v/>
      </c>
    </row>
    <row r="186" spans="1:10" ht="27" customHeight="1">
      <c r="A186" s="29"/>
      <c r="B186" s="98" t="str">
        <f t="shared" si="2"/>
        <v/>
      </c>
      <c r="C186" s="29"/>
      <c r="D186" s="29"/>
      <c r="E186" s="29"/>
      <c r="F186" s="29"/>
      <c r="G186" s="29"/>
      <c r="H186" s="29"/>
      <c r="I186" s="29"/>
      <c r="J186" s="98" t="str" cm="1">
        <f t="array" ref="J186">IF(ISBLANK($C186),"",SUMPRODUCT(--(LEFT(D186:I186, 1) = "*"))*50)</f>
        <v/>
      </c>
    </row>
    <row r="187" spans="1:10" ht="27" customHeight="1">
      <c r="A187" s="29"/>
      <c r="B187" s="98" t="str">
        <f t="shared" si="2"/>
        <v/>
      </c>
      <c r="C187" s="29"/>
      <c r="D187" s="29"/>
      <c r="E187" s="29"/>
      <c r="F187" s="29"/>
      <c r="G187" s="29"/>
      <c r="H187" s="29"/>
      <c r="I187" s="29"/>
      <c r="J187" s="98" t="str" cm="1">
        <f t="array" ref="J187">IF(ISBLANK($C187),"",SUMPRODUCT(--(LEFT(D187:I187, 1) = "*"))*50)</f>
        <v/>
      </c>
    </row>
    <row r="188" spans="1:10" ht="27" customHeight="1">
      <c r="A188" s="29"/>
      <c r="B188" s="98" t="str">
        <f t="shared" si="2"/>
        <v/>
      </c>
      <c r="C188" s="29"/>
      <c r="D188" s="29"/>
      <c r="E188" s="29"/>
      <c r="F188" s="29"/>
      <c r="G188" s="29"/>
      <c r="H188" s="29"/>
      <c r="I188" s="29"/>
      <c r="J188" s="98" t="str" cm="1">
        <f t="array" ref="J188">IF(ISBLANK($C188),"",SUMPRODUCT(--(LEFT(D188:I188, 1) = "*"))*50)</f>
        <v/>
      </c>
    </row>
    <row r="189" spans="1:10" ht="27" customHeight="1">
      <c r="A189" s="29"/>
      <c r="B189" s="98" t="str">
        <f t="shared" si="2"/>
        <v/>
      </c>
      <c r="C189" s="29"/>
      <c r="D189" s="29"/>
      <c r="E189" s="29"/>
      <c r="F189" s="29"/>
      <c r="G189" s="29"/>
      <c r="H189" s="29"/>
      <c r="I189" s="29"/>
      <c r="J189" s="98" t="str" cm="1">
        <f t="array" ref="J189">IF(ISBLANK($C189),"",SUMPRODUCT(--(LEFT(D189:I189, 1) = "*"))*50)</f>
        <v/>
      </c>
    </row>
    <row r="190" spans="1:10" ht="27" customHeight="1">
      <c r="A190" s="29"/>
      <c r="B190" s="98" t="str">
        <f t="shared" si="2"/>
        <v/>
      </c>
      <c r="C190" s="29"/>
      <c r="D190" s="29"/>
      <c r="E190" s="29"/>
      <c r="F190" s="29"/>
      <c r="G190" s="29"/>
      <c r="H190" s="29"/>
      <c r="I190" s="29"/>
      <c r="J190" s="98" t="str" cm="1">
        <f t="array" ref="J190">IF(ISBLANK($C190),"",SUMPRODUCT(--(LEFT(D190:I190, 1) = "*"))*50)</f>
        <v/>
      </c>
    </row>
    <row r="191" spans="1:10" ht="27" customHeight="1">
      <c r="A191" s="29"/>
      <c r="B191" s="98" t="str">
        <f t="shared" si="2"/>
        <v/>
      </c>
      <c r="C191" s="29"/>
      <c r="D191" s="29"/>
      <c r="E191" s="29"/>
      <c r="F191" s="29"/>
      <c r="G191" s="29"/>
      <c r="H191" s="29"/>
      <c r="I191" s="29"/>
      <c r="J191" s="98" t="str" cm="1">
        <f t="array" ref="J191">IF(ISBLANK($C191),"",SUMPRODUCT(--(LEFT(D191:I191, 1) = "*"))*50)</f>
        <v/>
      </c>
    </row>
    <row r="192" spans="1:10" ht="27" customHeight="1">
      <c r="A192" s="29"/>
      <c r="B192" s="98" t="str">
        <f t="shared" si="2"/>
        <v/>
      </c>
      <c r="C192" s="29"/>
      <c r="D192" s="29"/>
      <c r="E192" s="29"/>
      <c r="F192" s="29"/>
      <c r="G192" s="29"/>
      <c r="H192" s="29"/>
      <c r="I192" s="29"/>
      <c r="J192" s="98" t="str" cm="1">
        <f t="array" ref="J192">IF(ISBLANK($C192),"",SUMPRODUCT(--(LEFT(D192:I192, 1) = "*"))*50)</f>
        <v/>
      </c>
    </row>
    <row r="193" spans="1:10" ht="27" customHeight="1">
      <c r="A193" s="29"/>
      <c r="B193" s="98" t="str">
        <f t="shared" si="2"/>
        <v/>
      </c>
      <c r="C193" s="29"/>
      <c r="D193" s="29"/>
      <c r="E193" s="29"/>
      <c r="F193" s="29"/>
      <c r="G193" s="29"/>
      <c r="H193" s="29"/>
      <c r="I193" s="29"/>
      <c r="J193" s="98" t="str" cm="1">
        <f t="array" ref="J193">IF(ISBLANK($C193),"",SUMPRODUCT(--(LEFT(D193:I193, 1) = "*"))*50)</f>
        <v/>
      </c>
    </row>
    <row r="194" spans="1:10" ht="27" customHeight="1">
      <c r="A194" s="29"/>
      <c r="B194" s="98" t="str">
        <f t="shared" si="2"/>
        <v/>
      </c>
      <c r="C194" s="29"/>
      <c r="D194" s="29"/>
      <c r="E194" s="29"/>
      <c r="F194" s="29"/>
      <c r="G194" s="29"/>
      <c r="H194" s="29"/>
      <c r="I194" s="29"/>
      <c r="J194" s="98" t="str" cm="1">
        <f t="array" ref="J194">IF(ISBLANK($C194),"",SUMPRODUCT(--(LEFT(D194:I194, 1) = "*"))*50)</f>
        <v/>
      </c>
    </row>
    <row r="195" spans="1:10" ht="27" customHeight="1">
      <c r="A195" s="29"/>
      <c r="B195" s="98" t="str">
        <f t="shared" ref="B195:B258" si="3">IF(ISBLANK($C195),"","MCQ")</f>
        <v/>
      </c>
      <c r="C195" s="29"/>
      <c r="D195" s="29"/>
      <c r="E195" s="29"/>
      <c r="F195" s="29"/>
      <c r="G195" s="29"/>
      <c r="H195" s="29"/>
      <c r="I195" s="29"/>
      <c r="J195" s="98" t="str" cm="1">
        <f t="array" ref="J195">IF(ISBLANK($C195),"",SUMPRODUCT(--(LEFT(D195:I195, 1) = "*"))*50)</f>
        <v/>
      </c>
    </row>
    <row r="196" spans="1:10" ht="27" customHeight="1">
      <c r="A196" s="29"/>
      <c r="B196" s="98" t="str">
        <f t="shared" si="3"/>
        <v/>
      </c>
      <c r="C196" s="29"/>
      <c r="D196" s="29"/>
      <c r="E196" s="29"/>
      <c r="F196" s="29"/>
      <c r="G196" s="29"/>
      <c r="H196" s="29"/>
      <c r="I196" s="29"/>
      <c r="J196" s="98" t="str" cm="1">
        <f t="array" ref="J196">IF(ISBLANK($C196),"",SUMPRODUCT(--(LEFT(D196:I196, 1) = "*"))*50)</f>
        <v/>
      </c>
    </row>
    <row r="197" spans="1:10" ht="27" customHeight="1">
      <c r="A197" s="29"/>
      <c r="B197" s="98" t="str">
        <f t="shared" si="3"/>
        <v/>
      </c>
      <c r="C197" s="29"/>
      <c r="D197" s="29"/>
      <c r="E197" s="29"/>
      <c r="F197" s="29"/>
      <c r="G197" s="29"/>
      <c r="H197" s="29"/>
      <c r="I197" s="29"/>
      <c r="J197" s="98" t="str" cm="1">
        <f t="array" ref="J197">IF(ISBLANK($C197),"",SUMPRODUCT(--(LEFT(D197:I197, 1) = "*"))*50)</f>
        <v/>
      </c>
    </row>
    <row r="198" spans="1:10" ht="27" customHeight="1">
      <c r="A198" s="29"/>
      <c r="B198" s="98" t="str">
        <f t="shared" si="3"/>
        <v/>
      </c>
      <c r="C198" s="29"/>
      <c r="D198" s="29"/>
      <c r="E198" s="29"/>
      <c r="F198" s="29"/>
      <c r="G198" s="29"/>
      <c r="H198" s="29"/>
      <c r="I198" s="29"/>
      <c r="J198" s="98" t="str" cm="1">
        <f t="array" ref="J198">IF(ISBLANK($C198),"",SUMPRODUCT(--(LEFT(D198:I198, 1) = "*"))*50)</f>
        <v/>
      </c>
    </row>
    <row r="199" spans="1:10" ht="27" customHeight="1">
      <c r="A199" s="29"/>
      <c r="B199" s="98" t="str">
        <f t="shared" si="3"/>
        <v/>
      </c>
      <c r="C199" s="29"/>
      <c r="D199" s="29"/>
      <c r="E199" s="29"/>
      <c r="F199" s="29"/>
      <c r="G199" s="29"/>
      <c r="H199" s="29"/>
      <c r="I199" s="29"/>
      <c r="J199" s="98" t="str" cm="1">
        <f t="array" ref="J199">IF(ISBLANK($C199),"",SUMPRODUCT(--(LEFT(D199:I199, 1) = "*"))*50)</f>
        <v/>
      </c>
    </row>
    <row r="200" spans="1:10" ht="27" customHeight="1">
      <c r="A200" s="29"/>
      <c r="B200" s="98" t="str">
        <f t="shared" si="3"/>
        <v/>
      </c>
      <c r="C200" s="29"/>
      <c r="D200" s="29"/>
      <c r="E200" s="29"/>
      <c r="F200" s="29"/>
      <c r="G200" s="29"/>
      <c r="H200" s="29"/>
      <c r="I200" s="29"/>
      <c r="J200" s="98" t="str" cm="1">
        <f t="array" ref="J200">IF(ISBLANK($C200),"",SUMPRODUCT(--(LEFT(D200:I200, 1) = "*"))*50)</f>
        <v/>
      </c>
    </row>
    <row r="201" spans="1:10" ht="27" customHeight="1">
      <c r="A201" s="29"/>
      <c r="B201" s="98" t="str">
        <f t="shared" si="3"/>
        <v/>
      </c>
      <c r="C201" s="29"/>
      <c r="D201" s="29"/>
      <c r="E201" s="29"/>
      <c r="F201" s="29"/>
      <c r="G201" s="29"/>
      <c r="H201" s="29"/>
      <c r="I201" s="29"/>
      <c r="J201" s="98" t="str" cm="1">
        <f t="array" ref="J201">IF(ISBLANK($C201),"",SUMPRODUCT(--(LEFT(D201:I201, 1) = "*"))*50)</f>
        <v/>
      </c>
    </row>
    <row r="202" spans="1:10" ht="27" customHeight="1">
      <c r="A202" s="29"/>
      <c r="B202" s="98" t="str">
        <f t="shared" si="3"/>
        <v/>
      </c>
      <c r="C202" s="29"/>
      <c r="D202" s="29"/>
      <c r="E202" s="29"/>
      <c r="F202" s="29"/>
      <c r="G202" s="29"/>
      <c r="H202" s="29"/>
      <c r="I202" s="29"/>
      <c r="J202" s="98" t="str" cm="1">
        <f t="array" ref="J202">IF(ISBLANK($C202),"",SUMPRODUCT(--(LEFT(D202:I202, 1) = "*"))*50)</f>
        <v/>
      </c>
    </row>
    <row r="203" spans="1:10" ht="27" customHeight="1">
      <c r="A203" s="29"/>
      <c r="B203" s="98" t="str">
        <f t="shared" si="3"/>
        <v/>
      </c>
      <c r="C203" s="29"/>
      <c r="D203" s="29"/>
      <c r="E203" s="29"/>
      <c r="F203" s="29"/>
      <c r="G203" s="29"/>
      <c r="H203" s="29"/>
      <c r="I203" s="29"/>
      <c r="J203" s="98" t="str" cm="1">
        <f t="array" ref="J203">IF(ISBLANK($C203),"",SUMPRODUCT(--(LEFT(D203:I203, 1) = "*"))*50)</f>
        <v/>
      </c>
    </row>
    <row r="204" spans="1:10" ht="27" customHeight="1">
      <c r="A204" s="29"/>
      <c r="B204" s="98" t="str">
        <f t="shared" si="3"/>
        <v/>
      </c>
      <c r="C204" s="29"/>
      <c r="D204" s="29"/>
      <c r="E204" s="29"/>
      <c r="F204" s="29"/>
      <c r="G204" s="29"/>
      <c r="H204" s="29"/>
      <c r="I204" s="29"/>
      <c r="J204" s="98" t="str" cm="1">
        <f t="array" ref="J204">IF(ISBLANK($C204),"",SUMPRODUCT(--(LEFT(D204:I204, 1) = "*"))*50)</f>
        <v/>
      </c>
    </row>
    <row r="205" spans="1:10" ht="27" customHeight="1">
      <c r="A205" s="29"/>
      <c r="B205" s="98" t="str">
        <f t="shared" si="3"/>
        <v/>
      </c>
      <c r="C205" s="29"/>
      <c r="D205" s="29"/>
      <c r="E205" s="29"/>
      <c r="F205" s="29"/>
      <c r="G205" s="29"/>
      <c r="H205" s="29"/>
      <c r="I205" s="29"/>
      <c r="J205" s="98" t="str" cm="1">
        <f t="array" ref="J205">IF(ISBLANK($C205),"",SUMPRODUCT(--(LEFT(D205:I205, 1) = "*"))*50)</f>
        <v/>
      </c>
    </row>
    <row r="206" spans="1:10" ht="27" customHeight="1">
      <c r="A206" s="29"/>
      <c r="B206" s="98" t="str">
        <f t="shared" si="3"/>
        <v/>
      </c>
      <c r="C206" s="29"/>
      <c r="D206" s="29"/>
      <c r="E206" s="29"/>
      <c r="F206" s="29"/>
      <c r="G206" s="29"/>
      <c r="H206" s="29"/>
      <c r="I206" s="29"/>
      <c r="J206" s="98" t="str" cm="1">
        <f t="array" ref="J206">IF(ISBLANK($C206),"",SUMPRODUCT(--(LEFT(D206:I206, 1) = "*"))*50)</f>
        <v/>
      </c>
    </row>
    <row r="207" spans="1:10" ht="27" customHeight="1">
      <c r="A207" s="29"/>
      <c r="B207" s="98" t="str">
        <f t="shared" si="3"/>
        <v/>
      </c>
      <c r="C207" s="29"/>
      <c r="D207" s="29"/>
      <c r="E207" s="29"/>
      <c r="F207" s="29"/>
      <c r="G207" s="29"/>
      <c r="H207" s="29"/>
      <c r="I207" s="29"/>
      <c r="J207" s="98" t="str" cm="1">
        <f t="array" ref="J207">IF(ISBLANK($C207),"",SUMPRODUCT(--(LEFT(D207:I207, 1) = "*"))*50)</f>
        <v/>
      </c>
    </row>
    <row r="208" spans="1:10" ht="27" customHeight="1">
      <c r="A208" s="29"/>
      <c r="B208" s="98" t="str">
        <f t="shared" si="3"/>
        <v/>
      </c>
      <c r="C208" s="29"/>
      <c r="D208" s="29"/>
      <c r="E208" s="29"/>
      <c r="F208" s="29"/>
      <c r="G208" s="29"/>
      <c r="H208" s="29"/>
      <c r="I208" s="29"/>
      <c r="J208" s="98" t="str" cm="1">
        <f t="array" ref="J208">IF(ISBLANK($C208),"",SUMPRODUCT(--(LEFT(D208:I208, 1) = "*"))*50)</f>
        <v/>
      </c>
    </row>
    <row r="209" spans="1:10" ht="27" customHeight="1">
      <c r="A209" s="29"/>
      <c r="B209" s="98" t="str">
        <f t="shared" si="3"/>
        <v/>
      </c>
      <c r="C209" s="29"/>
      <c r="D209" s="29"/>
      <c r="E209" s="29"/>
      <c r="F209" s="29"/>
      <c r="G209" s="29"/>
      <c r="H209" s="29"/>
      <c r="I209" s="29"/>
      <c r="J209" s="98" t="str" cm="1">
        <f t="array" ref="J209">IF(ISBLANK($C209),"",SUMPRODUCT(--(LEFT(D209:I209, 1) = "*"))*50)</f>
        <v/>
      </c>
    </row>
    <row r="210" spans="1:10" ht="27" customHeight="1">
      <c r="A210" s="29"/>
      <c r="B210" s="98" t="str">
        <f t="shared" si="3"/>
        <v/>
      </c>
      <c r="C210" s="29"/>
      <c r="D210" s="29"/>
      <c r="E210" s="29"/>
      <c r="F210" s="29"/>
      <c r="G210" s="29"/>
      <c r="H210" s="29"/>
      <c r="I210" s="29"/>
      <c r="J210" s="98" t="str" cm="1">
        <f t="array" ref="J210">IF(ISBLANK($C210),"",SUMPRODUCT(--(LEFT(D210:I210, 1) = "*"))*50)</f>
        <v/>
      </c>
    </row>
    <row r="211" spans="1:10" ht="27" customHeight="1">
      <c r="A211" s="29"/>
      <c r="B211" s="98" t="str">
        <f t="shared" si="3"/>
        <v/>
      </c>
      <c r="C211" s="29"/>
      <c r="D211" s="29"/>
      <c r="E211" s="29"/>
      <c r="F211" s="29"/>
      <c r="G211" s="29"/>
      <c r="H211" s="29"/>
      <c r="I211" s="29"/>
      <c r="J211" s="98" t="str" cm="1">
        <f t="array" ref="J211">IF(ISBLANK($C211),"",SUMPRODUCT(--(LEFT(D211:I211, 1) = "*"))*50)</f>
        <v/>
      </c>
    </row>
    <row r="212" spans="1:10" ht="27" customHeight="1">
      <c r="A212" s="29"/>
      <c r="B212" s="98" t="str">
        <f t="shared" si="3"/>
        <v/>
      </c>
      <c r="C212" s="29"/>
      <c r="D212" s="29"/>
      <c r="E212" s="29"/>
      <c r="F212" s="29"/>
      <c r="G212" s="29"/>
      <c r="H212" s="29"/>
      <c r="I212" s="29"/>
      <c r="J212" s="98" t="str" cm="1">
        <f t="array" ref="J212">IF(ISBLANK($C212),"",SUMPRODUCT(--(LEFT(D212:I212, 1) = "*"))*50)</f>
        <v/>
      </c>
    </row>
    <row r="213" spans="1:10" ht="27" customHeight="1">
      <c r="A213" s="29"/>
      <c r="B213" s="98" t="str">
        <f t="shared" si="3"/>
        <v/>
      </c>
      <c r="C213" s="29"/>
      <c r="D213" s="29"/>
      <c r="E213" s="29"/>
      <c r="F213" s="29"/>
      <c r="G213" s="29"/>
      <c r="H213" s="29"/>
      <c r="I213" s="29"/>
      <c r="J213" s="98" t="str" cm="1">
        <f t="array" ref="J213">IF(ISBLANK($C213),"",SUMPRODUCT(--(LEFT(D213:I213, 1) = "*"))*50)</f>
        <v/>
      </c>
    </row>
    <row r="214" spans="1:10" ht="27" customHeight="1">
      <c r="A214" s="29"/>
      <c r="B214" s="98" t="str">
        <f t="shared" si="3"/>
        <v/>
      </c>
      <c r="C214" s="29"/>
      <c r="D214" s="29"/>
      <c r="E214" s="29"/>
      <c r="F214" s="29"/>
      <c r="G214" s="29"/>
      <c r="H214" s="29"/>
      <c r="I214" s="29"/>
      <c r="J214" s="98" t="str" cm="1">
        <f t="array" ref="J214">IF(ISBLANK($C214),"",SUMPRODUCT(--(LEFT(D214:I214, 1) = "*"))*50)</f>
        <v/>
      </c>
    </row>
    <row r="215" spans="1:10" ht="27" customHeight="1">
      <c r="A215" s="29"/>
      <c r="B215" s="98" t="str">
        <f t="shared" si="3"/>
        <v/>
      </c>
      <c r="C215" s="29"/>
      <c r="D215" s="29"/>
      <c r="E215" s="29"/>
      <c r="F215" s="29"/>
      <c r="G215" s="29"/>
      <c r="H215" s="29"/>
      <c r="I215" s="29"/>
      <c r="J215" s="98" t="str" cm="1">
        <f t="array" ref="J215">IF(ISBLANK($C215),"",SUMPRODUCT(--(LEFT(D215:I215, 1) = "*"))*50)</f>
        <v/>
      </c>
    </row>
    <row r="216" spans="1:10" ht="27" customHeight="1">
      <c r="A216" s="29"/>
      <c r="B216" s="98" t="str">
        <f t="shared" si="3"/>
        <v/>
      </c>
      <c r="C216" s="29"/>
      <c r="D216" s="29"/>
      <c r="E216" s="29"/>
      <c r="F216" s="29"/>
      <c r="G216" s="29"/>
      <c r="H216" s="29"/>
      <c r="I216" s="29"/>
      <c r="J216" s="98" t="str" cm="1">
        <f t="array" ref="J216">IF(ISBLANK($C216),"",SUMPRODUCT(--(LEFT(D216:I216, 1) = "*"))*50)</f>
        <v/>
      </c>
    </row>
    <row r="217" spans="1:10" ht="27" customHeight="1">
      <c r="A217" s="29"/>
      <c r="B217" s="98" t="str">
        <f t="shared" si="3"/>
        <v/>
      </c>
      <c r="C217" s="29"/>
      <c r="D217" s="29"/>
      <c r="E217" s="29"/>
      <c r="F217" s="29"/>
      <c r="G217" s="29"/>
      <c r="H217" s="29"/>
      <c r="I217" s="29"/>
      <c r="J217" s="98" t="str" cm="1">
        <f t="array" ref="J217">IF(ISBLANK($C217),"",SUMPRODUCT(--(LEFT(D217:I217, 1) = "*"))*50)</f>
        <v/>
      </c>
    </row>
    <row r="218" spans="1:10" ht="27" customHeight="1">
      <c r="A218" s="29"/>
      <c r="B218" s="98" t="str">
        <f t="shared" si="3"/>
        <v/>
      </c>
      <c r="C218" s="29"/>
      <c r="D218" s="29"/>
      <c r="E218" s="29"/>
      <c r="F218" s="29"/>
      <c r="G218" s="29"/>
      <c r="H218" s="29"/>
      <c r="I218" s="29"/>
      <c r="J218" s="98" t="str" cm="1">
        <f t="array" ref="J218">IF(ISBLANK($C218),"",SUMPRODUCT(--(LEFT(D218:I218, 1) = "*"))*50)</f>
        <v/>
      </c>
    </row>
    <row r="219" spans="1:10" ht="27" customHeight="1">
      <c r="A219" s="29"/>
      <c r="B219" s="98" t="str">
        <f t="shared" si="3"/>
        <v/>
      </c>
      <c r="C219" s="29"/>
      <c r="D219" s="29"/>
      <c r="E219" s="29"/>
      <c r="F219" s="29"/>
      <c r="G219" s="29"/>
      <c r="H219" s="29"/>
      <c r="I219" s="29"/>
      <c r="J219" s="98" t="str" cm="1">
        <f t="array" ref="J219">IF(ISBLANK($C219),"",SUMPRODUCT(--(LEFT(D219:I219, 1) = "*"))*50)</f>
        <v/>
      </c>
    </row>
    <row r="220" spans="1:10" ht="27" customHeight="1">
      <c r="A220" s="29"/>
      <c r="B220" s="98" t="str">
        <f t="shared" si="3"/>
        <v/>
      </c>
      <c r="C220" s="29"/>
      <c r="D220" s="29"/>
      <c r="E220" s="29"/>
      <c r="F220" s="29"/>
      <c r="G220" s="29"/>
      <c r="H220" s="29"/>
      <c r="I220" s="29"/>
      <c r="J220" s="98" t="str" cm="1">
        <f t="array" ref="J220">IF(ISBLANK($C220),"",SUMPRODUCT(--(LEFT(D220:I220, 1) = "*"))*50)</f>
        <v/>
      </c>
    </row>
    <row r="221" spans="1:10" ht="27" customHeight="1">
      <c r="A221" s="29"/>
      <c r="B221" s="98" t="str">
        <f t="shared" si="3"/>
        <v/>
      </c>
      <c r="C221" s="29"/>
      <c r="D221" s="29"/>
      <c r="E221" s="29"/>
      <c r="F221" s="29"/>
      <c r="G221" s="29"/>
      <c r="H221" s="29"/>
      <c r="I221" s="29"/>
      <c r="J221" s="98" t="str" cm="1">
        <f t="array" ref="J221">IF(ISBLANK($C221),"",SUMPRODUCT(--(LEFT(D221:I221, 1) = "*"))*50)</f>
        <v/>
      </c>
    </row>
    <row r="222" spans="1:10" ht="27" customHeight="1">
      <c r="A222" s="29"/>
      <c r="B222" s="98" t="str">
        <f t="shared" si="3"/>
        <v/>
      </c>
      <c r="C222" s="29"/>
      <c r="D222" s="29"/>
      <c r="E222" s="29"/>
      <c r="F222" s="29"/>
      <c r="G222" s="29"/>
      <c r="H222" s="29"/>
      <c r="I222" s="29"/>
      <c r="J222" s="98" t="str" cm="1">
        <f t="array" ref="J222">IF(ISBLANK($C222),"",SUMPRODUCT(--(LEFT(D222:I222, 1) = "*"))*50)</f>
        <v/>
      </c>
    </row>
    <row r="223" spans="1:10" ht="27" customHeight="1">
      <c r="A223" s="29"/>
      <c r="B223" s="98" t="str">
        <f t="shared" si="3"/>
        <v/>
      </c>
      <c r="C223" s="29"/>
      <c r="D223" s="29"/>
      <c r="E223" s="29"/>
      <c r="F223" s="29"/>
      <c r="G223" s="29"/>
      <c r="H223" s="29"/>
      <c r="I223" s="29"/>
      <c r="J223" s="98" t="str" cm="1">
        <f t="array" ref="J223">IF(ISBLANK($C223),"",SUMPRODUCT(--(LEFT(D223:I223, 1) = "*"))*50)</f>
        <v/>
      </c>
    </row>
    <row r="224" spans="1:10" ht="27" customHeight="1">
      <c r="A224" s="29"/>
      <c r="B224" s="98" t="str">
        <f t="shared" si="3"/>
        <v/>
      </c>
      <c r="C224" s="29"/>
      <c r="D224" s="29"/>
      <c r="E224" s="29"/>
      <c r="F224" s="29"/>
      <c r="G224" s="29"/>
      <c r="H224" s="29"/>
      <c r="I224" s="29"/>
      <c r="J224" s="98" t="str" cm="1">
        <f t="array" ref="J224">IF(ISBLANK($C224),"",SUMPRODUCT(--(LEFT(D224:I224, 1) = "*"))*50)</f>
        <v/>
      </c>
    </row>
    <row r="225" spans="1:10" ht="27" customHeight="1">
      <c r="A225" s="29"/>
      <c r="B225" s="98" t="str">
        <f t="shared" si="3"/>
        <v/>
      </c>
      <c r="C225" s="29"/>
      <c r="D225" s="29"/>
      <c r="E225" s="29"/>
      <c r="F225" s="29"/>
      <c r="G225" s="29"/>
      <c r="H225" s="29"/>
      <c r="I225" s="29"/>
      <c r="J225" s="98" t="str" cm="1">
        <f t="array" ref="J225">IF(ISBLANK($C225),"",SUMPRODUCT(--(LEFT(D225:I225, 1) = "*"))*50)</f>
        <v/>
      </c>
    </row>
    <row r="226" spans="1:10" ht="27" customHeight="1">
      <c r="A226" s="29"/>
      <c r="B226" s="98" t="str">
        <f t="shared" si="3"/>
        <v/>
      </c>
      <c r="C226" s="29"/>
      <c r="D226" s="29"/>
      <c r="E226" s="29"/>
      <c r="F226" s="29"/>
      <c r="G226" s="29"/>
      <c r="H226" s="29"/>
      <c r="I226" s="29"/>
      <c r="J226" s="98" t="str" cm="1">
        <f t="array" ref="J226">IF(ISBLANK($C226),"",SUMPRODUCT(--(LEFT(D226:I226, 1) = "*"))*50)</f>
        <v/>
      </c>
    </row>
    <row r="227" spans="1:10" ht="27" customHeight="1">
      <c r="A227" s="29"/>
      <c r="B227" s="98" t="str">
        <f t="shared" si="3"/>
        <v/>
      </c>
      <c r="C227" s="29"/>
      <c r="D227" s="29"/>
      <c r="E227" s="29"/>
      <c r="F227" s="29"/>
      <c r="G227" s="29"/>
      <c r="H227" s="29"/>
      <c r="I227" s="29"/>
      <c r="J227" s="98" t="str" cm="1">
        <f t="array" ref="J227">IF(ISBLANK($C227),"",SUMPRODUCT(--(LEFT(D227:I227, 1) = "*"))*50)</f>
        <v/>
      </c>
    </row>
    <row r="228" spans="1:10" ht="27" customHeight="1">
      <c r="A228" s="29"/>
      <c r="B228" s="98" t="str">
        <f t="shared" si="3"/>
        <v/>
      </c>
      <c r="C228" s="29"/>
      <c r="D228" s="29"/>
      <c r="E228" s="29"/>
      <c r="F228" s="29"/>
      <c r="G228" s="29"/>
      <c r="H228" s="29"/>
      <c r="I228" s="29"/>
      <c r="J228" s="98" t="str" cm="1">
        <f t="array" ref="J228">IF(ISBLANK($C228),"",SUMPRODUCT(--(LEFT(D228:I228, 1) = "*"))*50)</f>
        <v/>
      </c>
    </row>
    <row r="229" spans="1:10" ht="27" customHeight="1">
      <c r="A229" s="29"/>
      <c r="B229" s="98" t="str">
        <f t="shared" si="3"/>
        <v/>
      </c>
      <c r="C229" s="29"/>
      <c r="D229" s="29"/>
      <c r="E229" s="29"/>
      <c r="F229" s="29"/>
      <c r="G229" s="29"/>
      <c r="H229" s="29"/>
      <c r="I229" s="29"/>
      <c r="J229" s="98" t="str" cm="1">
        <f t="array" ref="J229">IF(ISBLANK($C229),"",SUMPRODUCT(--(LEFT(D229:I229, 1) = "*"))*50)</f>
        <v/>
      </c>
    </row>
    <row r="230" spans="1:10" ht="27" customHeight="1">
      <c r="A230" s="29"/>
      <c r="B230" s="98" t="str">
        <f t="shared" si="3"/>
        <v/>
      </c>
      <c r="C230" s="29"/>
      <c r="D230" s="29"/>
      <c r="E230" s="29"/>
      <c r="F230" s="29"/>
      <c r="G230" s="29"/>
      <c r="H230" s="29"/>
      <c r="I230" s="29"/>
      <c r="J230" s="98" t="str" cm="1">
        <f t="array" ref="J230">IF(ISBLANK($C230),"",SUMPRODUCT(--(LEFT(D230:I230, 1) = "*"))*50)</f>
        <v/>
      </c>
    </row>
    <row r="231" spans="1:10" ht="27" customHeight="1">
      <c r="A231" s="29"/>
      <c r="B231" s="98" t="str">
        <f t="shared" si="3"/>
        <v/>
      </c>
      <c r="C231" s="29"/>
      <c r="D231" s="29"/>
      <c r="E231" s="29"/>
      <c r="F231" s="29"/>
      <c r="G231" s="29"/>
      <c r="H231" s="29"/>
      <c r="I231" s="29"/>
      <c r="J231" s="98" t="str" cm="1">
        <f t="array" ref="J231">IF(ISBLANK($C231),"",SUMPRODUCT(--(LEFT(D231:I231, 1) = "*"))*50)</f>
        <v/>
      </c>
    </row>
    <row r="232" spans="1:10" ht="27" customHeight="1">
      <c r="A232" s="29"/>
      <c r="B232" s="98" t="str">
        <f t="shared" si="3"/>
        <v/>
      </c>
      <c r="C232" s="29"/>
      <c r="D232" s="29"/>
      <c r="E232" s="29"/>
      <c r="F232" s="29"/>
      <c r="G232" s="29"/>
      <c r="H232" s="29"/>
      <c r="I232" s="29"/>
      <c r="J232" s="98" t="str" cm="1">
        <f t="array" ref="J232">IF(ISBLANK($C232),"",SUMPRODUCT(--(LEFT(D232:I232, 1) = "*"))*50)</f>
        <v/>
      </c>
    </row>
    <row r="233" spans="1:10" ht="27" customHeight="1">
      <c r="A233" s="29"/>
      <c r="B233" s="98" t="str">
        <f t="shared" si="3"/>
        <v/>
      </c>
      <c r="C233" s="29"/>
      <c r="D233" s="29"/>
      <c r="E233" s="29"/>
      <c r="F233" s="29"/>
      <c r="G233" s="29"/>
      <c r="H233" s="29"/>
      <c r="I233" s="29"/>
      <c r="J233" s="98" t="str" cm="1">
        <f t="array" ref="J233">IF(ISBLANK($C233),"",SUMPRODUCT(--(LEFT(D233:I233, 1) = "*"))*50)</f>
        <v/>
      </c>
    </row>
    <row r="234" spans="1:10" ht="27" customHeight="1">
      <c r="A234" s="29"/>
      <c r="B234" s="98" t="str">
        <f t="shared" si="3"/>
        <v/>
      </c>
      <c r="C234" s="29"/>
      <c r="D234" s="29"/>
      <c r="E234" s="29"/>
      <c r="F234" s="29"/>
      <c r="G234" s="29"/>
      <c r="H234" s="29"/>
      <c r="I234" s="29"/>
      <c r="J234" s="98" t="str" cm="1">
        <f t="array" ref="J234">IF(ISBLANK($C234),"",SUMPRODUCT(--(LEFT(D234:I234, 1) = "*"))*50)</f>
        <v/>
      </c>
    </row>
    <row r="235" spans="1:10" ht="27" customHeight="1">
      <c r="A235" s="29"/>
      <c r="B235" s="98" t="str">
        <f t="shared" si="3"/>
        <v/>
      </c>
      <c r="C235" s="29"/>
      <c r="D235" s="29"/>
      <c r="E235" s="29"/>
      <c r="F235" s="29"/>
      <c r="G235" s="29"/>
      <c r="H235" s="29"/>
      <c r="I235" s="29"/>
      <c r="J235" s="98" t="str" cm="1">
        <f t="array" ref="J235">IF(ISBLANK($C235),"",SUMPRODUCT(--(LEFT(D235:I235, 1) = "*"))*50)</f>
        <v/>
      </c>
    </row>
    <row r="236" spans="1:10" ht="27" customHeight="1">
      <c r="A236" s="29"/>
      <c r="B236" s="98" t="str">
        <f t="shared" si="3"/>
        <v/>
      </c>
      <c r="C236" s="29"/>
      <c r="D236" s="29"/>
      <c r="E236" s="29"/>
      <c r="F236" s="29"/>
      <c r="G236" s="29"/>
      <c r="H236" s="29"/>
      <c r="I236" s="29"/>
      <c r="J236" s="98" t="str" cm="1">
        <f t="array" ref="J236">IF(ISBLANK($C236),"",SUMPRODUCT(--(LEFT(D236:I236, 1) = "*"))*50)</f>
        <v/>
      </c>
    </row>
    <row r="237" spans="1:10" ht="27" customHeight="1">
      <c r="A237" s="29"/>
      <c r="B237" s="98" t="str">
        <f t="shared" si="3"/>
        <v/>
      </c>
      <c r="C237" s="29"/>
      <c r="D237" s="29"/>
      <c r="E237" s="29"/>
      <c r="F237" s="29"/>
      <c r="G237" s="29"/>
      <c r="H237" s="29"/>
      <c r="I237" s="29"/>
      <c r="J237" s="98" t="str" cm="1">
        <f t="array" ref="J237">IF(ISBLANK($C237),"",SUMPRODUCT(--(LEFT(D237:I237, 1) = "*"))*50)</f>
        <v/>
      </c>
    </row>
    <row r="238" spans="1:10" ht="27" customHeight="1">
      <c r="A238" s="29"/>
      <c r="B238" s="98" t="str">
        <f t="shared" si="3"/>
        <v/>
      </c>
      <c r="C238" s="29"/>
      <c r="D238" s="29"/>
      <c r="E238" s="29"/>
      <c r="F238" s="29"/>
      <c r="G238" s="29"/>
      <c r="H238" s="29"/>
      <c r="I238" s="29"/>
      <c r="J238" s="98" t="str" cm="1">
        <f t="array" ref="J238">IF(ISBLANK($C238),"",SUMPRODUCT(--(LEFT(D238:I238, 1) = "*"))*50)</f>
        <v/>
      </c>
    </row>
    <row r="239" spans="1:10" ht="27" customHeight="1">
      <c r="A239" s="29"/>
      <c r="B239" s="98" t="str">
        <f t="shared" si="3"/>
        <v/>
      </c>
      <c r="C239" s="29"/>
      <c r="D239" s="29"/>
      <c r="E239" s="29"/>
      <c r="F239" s="29"/>
      <c r="G239" s="29"/>
      <c r="H239" s="29"/>
      <c r="I239" s="29"/>
      <c r="J239" s="98" t="str" cm="1">
        <f t="array" ref="J239">IF(ISBLANK($C239),"",SUMPRODUCT(--(LEFT(D239:I239, 1) = "*"))*50)</f>
        <v/>
      </c>
    </row>
    <row r="240" spans="1:10" ht="27" customHeight="1">
      <c r="A240" s="29"/>
      <c r="B240" s="98" t="str">
        <f t="shared" si="3"/>
        <v/>
      </c>
      <c r="C240" s="29"/>
      <c r="D240" s="29"/>
      <c r="E240" s="29"/>
      <c r="F240" s="29"/>
      <c r="G240" s="29"/>
      <c r="H240" s="29"/>
      <c r="I240" s="29"/>
      <c r="J240" s="98" t="str" cm="1">
        <f t="array" ref="J240">IF(ISBLANK($C240),"",SUMPRODUCT(--(LEFT(D240:I240, 1) = "*"))*50)</f>
        <v/>
      </c>
    </row>
    <row r="241" spans="1:10" ht="27" customHeight="1">
      <c r="A241" s="29"/>
      <c r="B241" s="98" t="str">
        <f t="shared" si="3"/>
        <v/>
      </c>
      <c r="C241" s="29"/>
      <c r="D241" s="29"/>
      <c r="E241" s="29"/>
      <c r="F241" s="29"/>
      <c r="G241" s="29"/>
      <c r="H241" s="29"/>
      <c r="I241" s="29"/>
      <c r="J241" s="98" t="str" cm="1">
        <f t="array" ref="J241">IF(ISBLANK($C241),"",SUMPRODUCT(--(LEFT(D241:I241, 1) = "*"))*50)</f>
        <v/>
      </c>
    </row>
    <row r="242" spans="1:10" ht="27" customHeight="1">
      <c r="A242" s="29"/>
      <c r="B242" s="98" t="str">
        <f t="shared" si="3"/>
        <v/>
      </c>
      <c r="C242" s="29"/>
      <c r="D242" s="29"/>
      <c r="E242" s="29"/>
      <c r="F242" s="29"/>
      <c r="G242" s="29"/>
      <c r="H242" s="29"/>
      <c r="I242" s="29"/>
      <c r="J242" s="98" t="str" cm="1">
        <f t="array" ref="J242">IF(ISBLANK($C242),"",SUMPRODUCT(--(LEFT(D242:I242, 1) = "*"))*50)</f>
        <v/>
      </c>
    </row>
    <row r="243" spans="1:10" ht="27" customHeight="1">
      <c r="A243" s="29"/>
      <c r="B243" s="98" t="str">
        <f t="shared" si="3"/>
        <v/>
      </c>
      <c r="C243" s="29"/>
      <c r="D243" s="29"/>
      <c r="E243" s="29"/>
      <c r="F243" s="29"/>
      <c r="G243" s="29"/>
      <c r="H243" s="29"/>
      <c r="I243" s="29"/>
      <c r="J243" s="98" t="str" cm="1">
        <f t="array" ref="J243">IF(ISBLANK($C243),"",SUMPRODUCT(--(LEFT(D243:I243, 1) = "*"))*50)</f>
        <v/>
      </c>
    </row>
    <row r="244" spans="1:10" ht="27" customHeight="1">
      <c r="A244" s="29"/>
      <c r="B244" s="98" t="str">
        <f t="shared" si="3"/>
        <v/>
      </c>
      <c r="C244" s="29"/>
      <c r="D244" s="29"/>
      <c r="E244" s="29"/>
      <c r="F244" s="29"/>
      <c r="G244" s="29"/>
      <c r="H244" s="29"/>
      <c r="I244" s="29"/>
      <c r="J244" s="98" t="str" cm="1">
        <f t="array" ref="J244">IF(ISBLANK($C244),"",SUMPRODUCT(--(LEFT(D244:I244, 1) = "*"))*50)</f>
        <v/>
      </c>
    </row>
    <row r="245" spans="1:10" ht="27" customHeight="1">
      <c r="A245" s="29"/>
      <c r="B245" s="98" t="str">
        <f t="shared" si="3"/>
        <v/>
      </c>
      <c r="C245" s="29"/>
      <c r="D245" s="29"/>
      <c r="E245" s="29"/>
      <c r="F245" s="29"/>
      <c r="G245" s="29"/>
      <c r="H245" s="29"/>
      <c r="I245" s="29"/>
      <c r="J245" s="98" t="str" cm="1">
        <f t="array" ref="J245">IF(ISBLANK($C245),"",SUMPRODUCT(--(LEFT(D245:I245, 1) = "*"))*50)</f>
        <v/>
      </c>
    </row>
    <row r="246" spans="1:10" ht="27" customHeight="1">
      <c r="A246" s="29"/>
      <c r="B246" s="98" t="str">
        <f t="shared" si="3"/>
        <v/>
      </c>
      <c r="C246" s="29"/>
      <c r="D246" s="29"/>
      <c r="E246" s="29"/>
      <c r="F246" s="29"/>
      <c r="G246" s="29"/>
      <c r="H246" s="29"/>
      <c r="I246" s="29"/>
      <c r="J246" s="98" t="str" cm="1">
        <f t="array" ref="J246">IF(ISBLANK($C246),"",SUMPRODUCT(--(LEFT(D246:I246, 1) = "*"))*50)</f>
        <v/>
      </c>
    </row>
    <row r="247" spans="1:10" ht="27" customHeight="1">
      <c r="A247" s="29"/>
      <c r="B247" s="98" t="str">
        <f t="shared" si="3"/>
        <v/>
      </c>
      <c r="C247" s="29"/>
      <c r="D247" s="29"/>
      <c r="E247" s="29"/>
      <c r="F247" s="29"/>
      <c r="G247" s="29"/>
      <c r="H247" s="29"/>
      <c r="I247" s="29"/>
      <c r="J247" s="98" t="str" cm="1">
        <f t="array" ref="J247">IF(ISBLANK($C247),"",SUMPRODUCT(--(LEFT(D247:I247, 1) = "*"))*50)</f>
        <v/>
      </c>
    </row>
    <row r="248" spans="1:10" ht="27" customHeight="1">
      <c r="A248" s="29"/>
      <c r="B248" s="98" t="str">
        <f t="shared" si="3"/>
        <v/>
      </c>
      <c r="C248" s="29"/>
      <c r="D248" s="29"/>
      <c r="E248" s="29"/>
      <c r="F248" s="29"/>
      <c r="G248" s="29"/>
      <c r="H248" s="29"/>
      <c r="I248" s="29"/>
      <c r="J248" s="98" t="str" cm="1">
        <f t="array" ref="J248">IF(ISBLANK($C248),"",SUMPRODUCT(--(LEFT(D248:I248, 1) = "*"))*50)</f>
        <v/>
      </c>
    </row>
    <row r="249" spans="1:10" ht="27" customHeight="1">
      <c r="A249" s="29"/>
      <c r="B249" s="98" t="str">
        <f t="shared" si="3"/>
        <v/>
      </c>
      <c r="C249" s="29"/>
      <c r="D249" s="29"/>
      <c r="E249" s="29"/>
      <c r="F249" s="29"/>
      <c r="G249" s="29"/>
      <c r="H249" s="29"/>
      <c r="I249" s="29"/>
      <c r="J249" s="98" t="str" cm="1">
        <f t="array" ref="J249">IF(ISBLANK($C249),"",SUMPRODUCT(--(LEFT(D249:I249, 1) = "*"))*50)</f>
        <v/>
      </c>
    </row>
    <row r="250" spans="1:10" ht="27" customHeight="1">
      <c r="A250" s="29"/>
      <c r="B250" s="98" t="str">
        <f t="shared" si="3"/>
        <v/>
      </c>
      <c r="C250" s="29"/>
      <c r="D250" s="29"/>
      <c r="E250" s="29"/>
      <c r="F250" s="29"/>
      <c r="G250" s="29"/>
      <c r="H250" s="29"/>
      <c r="I250" s="29"/>
      <c r="J250" s="98" t="str" cm="1">
        <f t="array" ref="J250">IF(ISBLANK($C250),"",SUMPRODUCT(--(LEFT(D250:I250, 1) = "*"))*50)</f>
        <v/>
      </c>
    </row>
    <row r="251" spans="1:10" ht="27" customHeight="1">
      <c r="A251" s="29"/>
      <c r="B251" s="98" t="str">
        <f t="shared" si="3"/>
        <v/>
      </c>
      <c r="C251" s="29"/>
      <c r="D251" s="29"/>
      <c r="E251" s="29"/>
      <c r="F251" s="29"/>
      <c r="G251" s="29"/>
      <c r="H251" s="29"/>
      <c r="I251" s="29"/>
      <c r="J251" s="98" t="str" cm="1">
        <f t="array" ref="J251">IF(ISBLANK($C251),"",SUMPRODUCT(--(LEFT(D251:I251, 1) = "*"))*50)</f>
        <v/>
      </c>
    </row>
    <row r="252" spans="1:10" ht="27" customHeight="1">
      <c r="A252" s="29"/>
      <c r="B252" s="98" t="str">
        <f t="shared" si="3"/>
        <v/>
      </c>
      <c r="C252" s="29"/>
      <c r="D252" s="29"/>
      <c r="E252" s="29"/>
      <c r="F252" s="29"/>
      <c r="G252" s="29"/>
      <c r="H252" s="29"/>
      <c r="I252" s="29"/>
      <c r="J252" s="98" t="str" cm="1">
        <f t="array" ref="J252">IF(ISBLANK($C252),"",SUMPRODUCT(--(LEFT(D252:I252, 1) = "*"))*50)</f>
        <v/>
      </c>
    </row>
    <row r="253" spans="1:10" ht="27" customHeight="1">
      <c r="A253" s="29"/>
      <c r="B253" s="98" t="str">
        <f t="shared" si="3"/>
        <v/>
      </c>
      <c r="C253" s="29"/>
      <c r="D253" s="29"/>
      <c r="E253" s="29"/>
      <c r="F253" s="29"/>
      <c r="G253" s="29"/>
      <c r="H253" s="29"/>
      <c r="I253" s="29"/>
      <c r="J253" s="98" t="str" cm="1">
        <f t="array" ref="J253">IF(ISBLANK($C253),"",SUMPRODUCT(--(LEFT(D253:I253, 1) = "*"))*50)</f>
        <v/>
      </c>
    </row>
    <row r="254" spans="1:10" ht="27" customHeight="1">
      <c r="A254" s="29"/>
      <c r="B254" s="98" t="str">
        <f t="shared" si="3"/>
        <v/>
      </c>
      <c r="C254" s="29"/>
      <c r="D254" s="29"/>
      <c r="E254" s="29"/>
      <c r="F254" s="29"/>
      <c r="G254" s="29"/>
      <c r="H254" s="29"/>
      <c r="I254" s="29"/>
      <c r="J254" s="98" t="str" cm="1">
        <f t="array" ref="J254">IF(ISBLANK($C254),"",SUMPRODUCT(--(LEFT(D254:I254, 1) = "*"))*50)</f>
        <v/>
      </c>
    </row>
    <row r="255" spans="1:10" ht="27" customHeight="1">
      <c r="A255" s="29"/>
      <c r="B255" s="98" t="str">
        <f t="shared" si="3"/>
        <v/>
      </c>
      <c r="C255" s="29"/>
      <c r="D255" s="29"/>
      <c r="E255" s="29"/>
      <c r="F255" s="29"/>
      <c r="G255" s="29"/>
      <c r="H255" s="29"/>
      <c r="I255" s="29"/>
      <c r="J255" s="98" t="str" cm="1">
        <f t="array" ref="J255">IF(ISBLANK($C255),"",SUMPRODUCT(--(LEFT(D255:I255, 1) = "*"))*50)</f>
        <v/>
      </c>
    </row>
    <row r="256" spans="1:10" ht="27" customHeight="1">
      <c r="A256" s="29"/>
      <c r="B256" s="98" t="str">
        <f t="shared" si="3"/>
        <v/>
      </c>
      <c r="C256" s="29"/>
      <c r="D256" s="29"/>
      <c r="E256" s="29"/>
      <c r="F256" s="29"/>
      <c r="G256" s="29"/>
      <c r="H256" s="29"/>
      <c r="I256" s="29"/>
      <c r="J256" s="98" t="str" cm="1">
        <f t="array" ref="J256">IF(ISBLANK($C256),"",SUMPRODUCT(--(LEFT(D256:I256, 1) = "*"))*50)</f>
        <v/>
      </c>
    </row>
    <row r="257" spans="1:10" ht="27" customHeight="1">
      <c r="A257" s="29"/>
      <c r="B257" s="98" t="str">
        <f t="shared" si="3"/>
        <v/>
      </c>
      <c r="C257" s="29"/>
      <c r="D257" s="29"/>
      <c r="E257" s="29"/>
      <c r="F257" s="29"/>
      <c r="G257" s="29"/>
      <c r="H257" s="29"/>
      <c r="I257" s="29"/>
      <c r="J257" s="98" t="str" cm="1">
        <f t="array" ref="J257">IF(ISBLANK($C257),"",SUMPRODUCT(--(LEFT(D257:I257, 1) = "*"))*50)</f>
        <v/>
      </c>
    </row>
    <row r="258" spans="1:10" ht="27" customHeight="1">
      <c r="A258" s="29"/>
      <c r="B258" s="98" t="str">
        <f t="shared" si="3"/>
        <v/>
      </c>
      <c r="C258" s="29"/>
      <c r="D258" s="29"/>
      <c r="E258" s="29"/>
      <c r="F258" s="29"/>
      <c r="G258" s="29"/>
      <c r="H258" s="29"/>
      <c r="I258" s="29"/>
      <c r="J258" s="98" t="str" cm="1">
        <f t="array" ref="J258">IF(ISBLANK($C258),"",SUMPRODUCT(--(LEFT(D258:I258, 1) = "*"))*50)</f>
        <v/>
      </c>
    </row>
    <row r="259" spans="1:10" ht="27" customHeight="1">
      <c r="A259" s="29"/>
      <c r="B259" s="98" t="str">
        <f t="shared" ref="B259:B322" si="4">IF(ISBLANK($C259),"","MCQ")</f>
        <v/>
      </c>
      <c r="C259" s="29"/>
      <c r="D259" s="29"/>
      <c r="E259" s="29"/>
      <c r="F259" s="29"/>
      <c r="G259" s="29"/>
      <c r="H259" s="29"/>
      <c r="I259" s="29"/>
      <c r="J259" s="98" t="str" cm="1">
        <f t="array" ref="J259">IF(ISBLANK($C259),"",SUMPRODUCT(--(LEFT(D259:I259, 1) = "*"))*50)</f>
        <v/>
      </c>
    </row>
    <row r="260" spans="1:10" ht="27" customHeight="1">
      <c r="A260" s="29"/>
      <c r="B260" s="98" t="str">
        <f t="shared" si="4"/>
        <v/>
      </c>
      <c r="C260" s="29"/>
      <c r="D260" s="29"/>
      <c r="E260" s="29"/>
      <c r="F260" s="29"/>
      <c r="G260" s="29"/>
      <c r="H260" s="29"/>
      <c r="I260" s="29"/>
      <c r="J260" s="98" t="str" cm="1">
        <f t="array" ref="J260">IF(ISBLANK($C260),"",SUMPRODUCT(--(LEFT(D260:I260, 1) = "*"))*50)</f>
        <v/>
      </c>
    </row>
    <row r="261" spans="1:10" ht="27" customHeight="1">
      <c r="A261" s="29"/>
      <c r="B261" s="98" t="str">
        <f t="shared" si="4"/>
        <v/>
      </c>
      <c r="C261" s="29"/>
      <c r="D261" s="29"/>
      <c r="E261" s="29"/>
      <c r="F261" s="29"/>
      <c r="G261" s="29"/>
      <c r="H261" s="29"/>
      <c r="I261" s="29"/>
      <c r="J261" s="98" t="str" cm="1">
        <f t="array" ref="J261">IF(ISBLANK($C261),"",SUMPRODUCT(--(LEFT(D261:I261, 1) = "*"))*50)</f>
        <v/>
      </c>
    </row>
    <row r="262" spans="1:10" ht="27" customHeight="1">
      <c r="A262" s="29"/>
      <c r="B262" s="98" t="str">
        <f t="shared" si="4"/>
        <v/>
      </c>
      <c r="C262" s="29"/>
      <c r="D262" s="29"/>
      <c r="E262" s="29"/>
      <c r="F262" s="29"/>
      <c r="G262" s="29"/>
      <c r="H262" s="29"/>
      <c r="I262" s="29"/>
      <c r="J262" s="98" t="str" cm="1">
        <f t="array" ref="J262">IF(ISBLANK($C262),"",SUMPRODUCT(--(LEFT(D262:I262, 1) = "*"))*50)</f>
        <v/>
      </c>
    </row>
    <row r="263" spans="1:10" ht="27" customHeight="1">
      <c r="A263" s="29"/>
      <c r="B263" s="98" t="str">
        <f t="shared" si="4"/>
        <v/>
      </c>
      <c r="C263" s="29"/>
      <c r="D263" s="29"/>
      <c r="E263" s="29"/>
      <c r="F263" s="29"/>
      <c r="G263" s="29"/>
      <c r="H263" s="29"/>
      <c r="I263" s="29"/>
      <c r="J263" s="98" t="str" cm="1">
        <f t="array" ref="J263">IF(ISBLANK($C263),"",SUMPRODUCT(--(LEFT(D263:I263, 1) = "*"))*50)</f>
        <v/>
      </c>
    </row>
    <row r="264" spans="1:10" ht="27" customHeight="1">
      <c r="A264" s="29"/>
      <c r="B264" s="98" t="str">
        <f t="shared" si="4"/>
        <v/>
      </c>
      <c r="C264" s="29"/>
      <c r="D264" s="29"/>
      <c r="E264" s="29"/>
      <c r="F264" s="29"/>
      <c r="G264" s="29"/>
      <c r="H264" s="29"/>
      <c r="I264" s="29"/>
      <c r="J264" s="98" t="str" cm="1">
        <f t="array" ref="J264">IF(ISBLANK($C264),"",SUMPRODUCT(--(LEFT(D264:I264, 1) = "*"))*50)</f>
        <v/>
      </c>
    </row>
    <row r="265" spans="1:10" ht="27" customHeight="1">
      <c r="A265" s="29"/>
      <c r="B265" s="98" t="str">
        <f t="shared" si="4"/>
        <v/>
      </c>
      <c r="C265" s="29"/>
      <c r="D265" s="29"/>
      <c r="E265" s="29"/>
      <c r="F265" s="29"/>
      <c r="G265" s="29"/>
      <c r="H265" s="29"/>
      <c r="I265" s="29"/>
      <c r="J265" s="98" t="str" cm="1">
        <f t="array" ref="J265">IF(ISBLANK($C265),"",SUMPRODUCT(--(LEFT(D265:I265, 1) = "*"))*50)</f>
        <v/>
      </c>
    </row>
    <row r="266" spans="1:10" ht="27" customHeight="1">
      <c r="A266" s="29"/>
      <c r="B266" s="98" t="str">
        <f t="shared" si="4"/>
        <v/>
      </c>
      <c r="C266" s="29"/>
      <c r="D266" s="29"/>
      <c r="E266" s="29"/>
      <c r="F266" s="29"/>
      <c r="G266" s="29"/>
      <c r="H266" s="29"/>
      <c r="I266" s="29"/>
      <c r="J266" s="98" t="str" cm="1">
        <f t="array" ref="J266">IF(ISBLANK($C266),"",SUMPRODUCT(--(LEFT(D266:I266, 1) = "*"))*50)</f>
        <v/>
      </c>
    </row>
    <row r="267" spans="1:10" ht="27" customHeight="1">
      <c r="A267" s="29"/>
      <c r="B267" s="98" t="str">
        <f t="shared" si="4"/>
        <v/>
      </c>
      <c r="C267" s="29"/>
      <c r="D267" s="29"/>
      <c r="E267" s="29"/>
      <c r="F267" s="29"/>
      <c r="G267" s="29"/>
      <c r="H267" s="29"/>
      <c r="I267" s="29"/>
      <c r="J267" s="98" t="str" cm="1">
        <f t="array" ref="J267">IF(ISBLANK($C267),"",SUMPRODUCT(--(LEFT(D267:I267, 1) = "*"))*50)</f>
        <v/>
      </c>
    </row>
    <row r="268" spans="1:10" ht="27" customHeight="1">
      <c r="A268" s="29"/>
      <c r="B268" s="98" t="str">
        <f t="shared" si="4"/>
        <v/>
      </c>
      <c r="C268" s="29"/>
      <c r="D268" s="29"/>
      <c r="E268" s="29"/>
      <c r="F268" s="29"/>
      <c r="G268" s="29"/>
      <c r="H268" s="29"/>
      <c r="I268" s="29"/>
      <c r="J268" s="98" t="str" cm="1">
        <f t="array" ref="J268">IF(ISBLANK($C268),"",SUMPRODUCT(--(LEFT(D268:I268, 1) = "*"))*50)</f>
        <v/>
      </c>
    </row>
    <row r="269" spans="1:10" ht="27" customHeight="1">
      <c r="A269" s="29"/>
      <c r="B269" s="98" t="str">
        <f t="shared" si="4"/>
        <v/>
      </c>
      <c r="C269" s="29"/>
      <c r="D269" s="29"/>
      <c r="E269" s="29"/>
      <c r="F269" s="29"/>
      <c r="G269" s="29"/>
      <c r="H269" s="29"/>
      <c r="I269" s="29"/>
      <c r="J269" s="98" t="str" cm="1">
        <f t="array" ref="J269">IF(ISBLANK($C269),"",SUMPRODUCT(--(LEFT(D269:I269, 1) = "*"))*50)</f>
        <v/>
      </c>
    </row>
    <row r="270" spans="1:10" ht="27" customHeight="1">
      <c r="A270" s="29"/>
      <c r="B270" s="98" t="str">
        <f t="shared" si="4"/>
        <v/>
      </c>
      <c r="C270" s="29"/>
      <c r="D270" s="29"/>
      <c r="E270" s="29"/>
      <c r="F270" s="29"/>
      <c r="G270" s="29"/>
      <c r="H270" s="29"/>
      <c r="I270" s="29"/>
      <c r="J270" s="98" t="str" cm="1">
        <f t="array" ref="J270">IF(ISBLANK($C270),"",SUMPRODUCT(--(LEFT(D270:I270, 1) = "*"))*50)</f>
        <v/>
      </c>
    </row>
    <row r="271" spans="1:10" ht="27" customHeight="1">
      <c r="A271" s="29"/>
      <c r="B271" s="98" t="str">
        <f t="shared" si="4"/>
        <v/>
      </c>
      <c r="C271" s="29"/>
      <c r="D271" s="29"/>
      <c r="E271" s="29"/>
      <c r="F271" s="29"/>
      <c r="G271" s="29"/>
      <c r="H271" s="29"/>
      <c r="I271" s="29"/>
      <c r="J271" s="98" t="str" cm="1">
        <f t="array" ref="J271">IF(ISBLANK($C271),"",SUMPRODUCT(--(LEFT(D271:I271, 1) = "*"))*50)</f>
        <v/>
      </c>
    </row>
    <row r="272" spans="1:10" ht="27" customHeight="1">
      <c r="A272" s="29"/>
      <c r="B272" s="98" t="str">
        <f t="shared" si="4"/>
        <v/>
      </c>
      <c r="C272" s="29"/>
      <c r="D272" s="29"/>
      <c r="E272" s="29"/>
      <c r="F272" s="29"/>
      <c r="G272" s="29"/>
      <c r="H272" s="29"/>
      <c r="I272" s="29"/>
      <c r="J272" s="98" t="str" cm="1">
        <f t="array" ref="J272">IF(ISBLANK($C272),"",SUMPRODUCT(--(LEFT(D272:I272, 1) = "*"))*50)</f>
        <v/>
      </c>
    </row>
    <row r="273" spans="1:10" ht="27" customHeight="1">
      <c r="A273" s="29"/>
      <c r="B273" s="98" t="str">
        <f t="shared" si="4"/>
        <v/>
      </c>
      <c r="C273" s="29"/>
      <c r="D273" s="29"/>
      <c r="E273" s="29"/>
      <c r="F273" s="29"/>
      <c r="G273" s="29"/>
      <c r="H273" s="29"/>
      <c r="I273" s="29"/>
      <c r="J273" s="98" t="str" cm="1">
        <f t="array" ref="J273">IF(ISBLANK($C273),"",SUMPRODUCT(--(LEFT(D273:I273, 1) = "*"))*50)</f>
        <v/>
      </c>
    </row>
    <row r="274" spans="1:10" ht="27" customHeight="1">
      <c r="A274" s="29"/>
      <c r="B274" s="98" t="str">
        <f t="shared" si="4"/>
        <v/>
      </c>
      <c r="C274" s="29"/>
      <c r="D274" s="29"/>
      <c r="E274" s="29"/>
      <c r="F274" s="29"/>
      <c r="G274" s="29"/>
      <c r="H274" s="29"/>
      <c r="I274" s="29"/>
      <c r="J274" s="98" t="str" cm="1">
        <f t="array" ref="J274">IF(ISBLANK($C274),"",SUMPRODUCT(--(LEFT(D274:I274, 1) = "*"))*50)</f>
        <v/>
      </c>
    </row>
    <row r="275" spans="1:10" ht="27" customHeight="1">
      <c r="A275" s="29"/>
      <c r="B275" s="98" t="str">
        <f t="shared" si="4"/>
        <v/>
      </c>
      <c r="C275" s="29"/>
      <c r="D275" s="29"/>
      <c r="E275" s="29"/>
      <c r="F275" s="29"/>
      <c r="G275" s="29"/>
      <c r="H275" s="29"/>
      <c r="I275" s="29"/>
      <c r="J275" s="98" t="str" cm="1">
        <f t="array" ref="J275">IF(ISBLANK($C275),"",SUMPRODUCT(--(LEFT(D275:I275, 1) = "*"))*50)</f>
        <v/>
      </c>
    </row>
    <row r="276" spans="1:10" ht="27" customHeight="1">
      <c r="A276" s="29"/>
      <c r="B276" s="98" t="str">
        <f t="shared" si="4"/>
        <v/>
      </c>
      <c r="C276" s="29"/>
      <c r="D276" s="29"/>
      <c r="E276" s="29"/>
      <c r="F276" s="29"/>
      <c r="G276" s="29"/>
      <c r="H276" s="29"/>
      <c r="I276" s="29"/>
      <c r="J276" s="98" t="str" cm="1">
        <f t="array" ref="J276">IF(ISBLANK($C276),"",SUMPRODUCT(--(LEFT(D276:I276, 1) = "*"))*50)</f>
        <v/>
      </c>
    </row>
    <row r="277" spans="1:10" ht="27" customHeight="1">
      <c r="A277" s="29"/>
      <c r="B277" s="98" t="str">
        <f t="shared" si="4"/>
        <v/>
      </c>
      <c r="C277" s="29"/>
      <c r="D277" s="29"/>
      <c r="E277" s="29"/>
      <c r="F277" s="29"/>
      <c r="G277" s="29"/>
      <c r="H277" s="29"/>
      <c r="I277" s="29"/>
      <c r="J277" s="98" t="str" cm="1">
        <f t="array" ref="J277">IF(ISBLANK($C277),"",SUMPRODUCT(--(LEFT(D277:I277, 1) = "*"))*50)</f>
        <v/>
      </c>
    </row>
    <row r="278" spans="1:10" ht="27" customHeight="1">
      <c r="A278" s="29"/>
      <c r="B278" s="98" t="str">
        <f t="shared" si="4"/>
        <v/>
      </c>
      <c r="C278" s="29"/>
      <c r="D278" s="29"/>
      <c r="E278" s="29"/>
      <c r="F278" s="29"/>
      <c r="G278" s="29"/>
      <c r="H278" s="29"/>
      <c r="I278" s="29"/>
      <c r="J278" s="98" t="str" cm="1">
        <f t="array" ref="J278">IF(ISBLANK($C278),"",SUMPRODUCT(--(LEFT(D278:I278, 1) = "*"))*50)</f>
        <v/>
      </c>
    </row>
    <row r="279" spans="1:10" ht="27" customHeight="1">
      <c r="A279" s="29"/>
      <c r="B279" s="98" t="str">
        <f t="shared" si="4"/>
        <v/>
      </c>
      <c r="C279" s="29"/>
      <c r="D279" s="29"/>
      <c r="E279" s="29"/>
      <c r="F279" s="29"/>
      <c r="G279" s="29"/>
      <c r="H279" s="29"/>
      <c r="I279" s="29"/>
      <c r="J279" s="98" t="str" cm="1">
        <f t="array" ref="J279">IF(ISBLANK($C279),"",SUMPRODUCT(--(LEFT(D279:I279, 1) = "*"))*50)</f>
        <v/>
      </c>
    </row>
    <row r="280" spans="1:10" ht="27" customHeight="1">
      <c r="A280" s="29"/>
      <c r="B280" s="98" t="str">
        <f t="shared" si="4"/>
        <v/>
      </c>
      <c r="C280" s="29"/>
      <c r="D280" s="29"/>
      <c r="E280" s="29"/>
      <c r="F280" s="29"/>
      <c r="G280" s="29"/>
      <c r="H280" s="29"/>
      <c r="I280" s="29"/>
      <c r="J280" s="98" t="str" cm="1">
        <f t="array" ref="J280">IF(ISBLANK($C280),"",SUMPRODUCT(--(LEFT(D280:I280, 1) = "*"))*50)</f>
        <v/>
      </c>
    </row>
    <row r="281" spans="1:10" ht="27" customHeight="1">
      <c r="A281" s="29"/>
      <c r="B281" s="98" t="str">
        <f t="shared" si="4"/>
        <v/>
      </c>
      <c r="C281" s="29"/>
      <c r="D281" s="29"/>
      <c r="E281" s="29"/>
      <c r="F281" s="29"/>
      <c r="G281" s="29"/>
      <c r="H281" s="29"/>
      <c r="I281" s="29"/>
      <c r="J281" s="98" t="str" cm="1">
        <f t="array" ref="J281">IF(ISBLANK($C281),"",SUMPRODUCT(--(LEFT(D281:I281, 1) = "*"))*50)</f>
        <v/>
      </c>
    </row>
    <row r="282" spans="1:10" ht="27" customHeight="1">
      <c r="A282" s="29"/>
      <c r="B282" s="98" t="str">
        <f t="shared" si="4"/>
        <v/>
      </c>
      <c r="C282" s="29"/>
      <c r="D282" s="29"/>
      <c r="E282" s="29"/>
      <c r="F282" s="29"/>
      <c r="G282" s="29"/>
      <c r="H282" s="29"/>
      <c r="I282" s="29"/>
      <c r="J282" s="98" t="str" cm="1">
        <f t="array" ref="J282">IF(ISBLANK($C282),"",SUMPRODUCT(--(LEFT(D282:I282, 1) = "*"))*50)</f>
        <v/>
      </c>
    </row>
    <row r="283" spans="1:10" ht="27" customHeight="1">
      <c r="A283" s="29"/>
      <c r="B283" s="98" t="str">
        <f t="shared" si="4"/>
        <v/>
      </c>
      <c r="C283" s="29"/>
      <c r="D283" s="29"/>
      <c r="E283" s="29"/>
      <c r="F283" s="29"/>
      <c r="G283" s="29"/>
      <c r="H283" s="29"/>
      <c r="I283" s="29"/>
      <c r="J283" s="98" t="str" cm="1">
        <f t="array" ref="J283">IF(ISBLANK($C283),"",SUMPRODUCT(--(LEFT(D283:I283, 1) = "*"))*50)</f>
        <v/>
      </c>
    </row>
    <row r="284" spans="1:10" ht="27" customHeight="1">
      <c r="A284" s="29"/>
      <c r="B284" s="98" t="str">
        <f t="shared" si="4"/>
        <v/>
      </c>
      <c r="C284" s="29"/>
      <c r="D284" s="29"/>
      <c r="E284" s="29"/>
      <c r="F284" s="29"/>
      <c r="G284" s="29"/>
      <c r="H284" s="29"/>
      <c r="I284" s="29"/>
      <c r="J284" s="98" t="str" cm="1">
        <f t="array" ref="J284">IF(ISBLANK($C284),"",SUMPRODUCT(--(LEFT(D284:I284, 1) = "*"))*50)</f>
        <v/>
      </c>
    </row>
    <row r="285" spans="1:10" ht="27" customHeight="1">
      <c r="A285" s="29"/>
      <c r="B285" s="98" t="str">
        <f t="shared" si="4"/>
        <v/>
      </c>
      <c r="C285" s="29"/>
      <c r="D285" s="29"/>
      <c r="E285" s="29"/>
      <c r="F285" s="29"/>
      <c r="G285" s="29"/>
      <c r="H285" s="29"/>
      <c r="I285" s="29"/>
      <c r="J285" s="98" t="str" cm="1">
        <f t="array" ref="J285">IF(ISBLANK($C285),"",SUMPRODUCT(--(LEFT(D285:I285, 1) = "*"))*50)</f>
        <v/>
      </c>
    </row>
    <row r="286" spans="1:10" ht="27" customHeight="1">
      <c r="A286" s="29"/>
      <c r="B286" s="98" t="str">
        <f t="shared" si="4"/>
        <v/>
      </c>
      <c r="C286" s="29"/>
      <c r="D286" s="29"/>
      <c r="E286" s="29"/>
      <c r="F286" s="29"/>
      <c r="G286" s="29"/>
      <c r="H286" s="29"/>
      <c r="I286" s="29"/>
      <c r="J286" s="98" t="str" cm="1">
        <f t="array" ref="J286">IF(ISBLANK($C286),"",SUMPRODUCT(--(LEFT(D286:I286, 1) = "*"))*50)</f>
        <v/>
      </c>
    </row>
    <row r="287" spans="1:10" ht="27" customHeight="1">
      <c r="A287" s="29"/>
      <c r="B287" s="98" t="str">
        <f t="shared" si="4"/>
        <v/>
      </c>
      <c r="C287" s="29"/>
      <c r="D287" s="29"/>
      <c r="E287" s="29"/>
      <c r="F287" s="29"/>
      <c r="G287" s="29"/>
      <c r="H287" s="29"/>
      <c r="I287" s="29"/>
      <c r="J287" s="98" t="str" cm="1">
        <f t="array" ref="J287">IF(ISBLANK($C287),"",SUMPRODUCT(--(LEFT(D287:I287, 1) = "*"))*50)</f>
        <v/>
      </c>
    </row>
    <row r="288" spans="1:10" ht="27" customHeight="1">
      <c r="A288" s="29"/>
      <c r="B288" s="98" t="str">
        <f t="shared" si="4"/>
        <v/>
      </c>
      <c r="C288" s="29"/>
      <c r="D288" s="29"/>
      <c r="E288" s="29"/>
      <c r="F288" s="29"/>
      <c r="G288" s="29"/>
      <c r="H288" s="29"/>
      <c r="I288" s="29"/>
      <c r="J288" s="98" t="str" cm="1">
        <f t="array" ref="J288">IF(ISBLANK($C288),"",SUMPRODUCT(--(LEFT(D288:I288, 1) = "*"))*50)</f>
        <v/>
      </c>
    </row>
    <row r="289" spans="1:10" ht="27" customHeight="1">
      <c r="A289" s="29"/>
      <c r="B289" s="98" t="str">
        <f t="shared" si="4"/>
        <v/>
      </c>
      <c r="C289" s="29"/>
      <c r="D289" s="29"/>
      <c r="E289" s="29"/>
      <c r="F289" s="29"/>
      <c r="G289" s="29"/>
      <c r="H289" s="29"/>
      <c r="I289" s="29"/>
      <c r="J289" s="98" t="str" cm="1">
        <f t="array" ref="J289">IF(ISBLANK($C289),"",SUMPRODUCT(--(LEFT(D289:I289, 1) = "*"))*50)</f>
        <v/>
      </c>
    </row>
    <row r="290" spans="1:10" ht="27" customHeight="1">
      <c r="A290" s="29"/>
      <c r="B290" s="98" t="str">
        <f t="shared" si="4"/>
        <v/>
      </c>
      <c r="C290" s="29"/>
      <c r="D290" s="29"/>
      <c r="E290" s="29"/>
      <c r="F290" s="29"/>
      <c r="G290" s="29"/>
      <c r="H290" s="29"/>
      <c r="I290" s="29"/>
      <c r="J290" s="98" t="str" cm="1">
        <f t="array" ref="J290">IF(ISBLANK($C290),"",SUMPRODUCT(--(LEFT(D290:I290, 1) = "*"))*50)</f>
        <v/>
      </c>
    </row>
    <row r="291" spans="1:10" ht="27" customHeight="1">
      <c r="A291" s="29"/>
      <c r="B291" s="98" t="str">
        <f t="shared" si="4"/>
        <v/>
      </c>
      <c r="C291" s="29"/>
      <c r="D291" s="29"/>
      <c r="E291" s="29"/>
      <c r="F291" s="29"/>
      <c r="G291" s="29"/>
      <c r="H291" s="29"/>
      <c r="I291" s="29"/>
      <c r="J291" s="98" t="str" cm="1">
        <f t="array" ref="J291">IF(ISBLANK($C291),"",SUMPRODUCT(--(LEFT(D291:I291, 1) = "*"))*50)</f>
        <v/>
      </c>
    </row>
    <row r="292" spans="1:10" ht="27" customHeight="1">
      <c r="A292" s="29"/>
      <c r="B292" s="98" t="str">
        <f t="shared" si="4"/>
        <v/>
      </c>
      <c r="C292" s="29"/>
      <c r="D292" s="29"/>
      <c r="E292" s="29"/>
      <c r="F292" s="29"/>
      <c r="G292" s="29"/>
      <c r="H292" s="29"/>
      <c r="I292" s="29"/>
      <c r="J292" s="98" t="str" cm="1">
        <f t="array" ref="J292">IF(ISBLANK($C292),"",SUMPRODUCT(--(LEFT(D292:I292, 1) = "*"))*50)</f>
        <v/>
      </c>
    </row>
    <row r="293" spans="1:10" ht="27" customHeight="1">
      <c r="A293" s="29"/>
      <c r="B293" s="98" t="str">
        <f t="shared" si="4"/>
        <v/>
      </c>
      <c r="C293" s="29"/>
      <c r="D293" s="29"/>
      <c r="E293" s="29"/>
      <c r="F293" s="29"/>
      <c r="G293" s="29"/>
      <c r="H293" s="29"/>
      <c r="I293" s="29"/>
      <c r="J293" s="98" t="str" cm="1">
        <f t="array" ref="J293">IF(ISBLANK($C293),"",SUMPRODUCT(--(LEFT(D293:I293, 1) = "*"))*50)</f>
        <v/>
      </c>
    </row>
    <row r="294" spans="1:10" ht="27" customHeight="1">
      <c r="A294" s="29"/>
      <c r="B294" s="98" t="str">
        <f t="shared" si="4"/>
        <v/>
      </c>
      <c r="C294" s="29"/>
      <c r="D294" s="29"/>
      <c r="E294" s="29"/>
      <c r="F294" s="29"/>
      <c r="G294" s="29"/>
      <c r="H294" s="29"/>
      <c r="I294" s="29"/>
      <c r="J294" s="98" t="str" cm="1">
        <f t="array" ref="J294">IF(ISBLANK($C294),"",SUMPRODUCT(--(LEFT(D294:I294, 1) = "*"))*50)</f>
        <v/>
      </c>
    </row>
    <row r="295" spans="1:10" ht="27" customHeight="1">
      <c r="A295" s="29"/>
      <c r="B295" s="98" t="str">
        <f t="shared" si="4"/>
        <v/>
      </c>
      <c r="C295" s="29"/>
      <c r="D295" s="29"/>
      <c r="E295" s="29"/>
      <c r="F295" s="29"/>
      <c r="G295" s="29"/>
      <c r="H295" s="29"/>
      <c r="I295" s="29"/>
      <c r="J295" s="98" t="str" cm="1">
        <f t="array" ref="J295">IF(ISBLANK($C295),"",SUMPRODUCT(--(LEFT(D295:I295, 1) = "*"))*50)</f>
        <v/>
      </c>
    </row>
    <row r="296" spans="1:10" ht="27" customHeight="1">
      <c r="A296" s="29"/>
      <c r="B296" s="98" t="str">
        <f t="shared" si="4"/>
        <v/>
      </c>
      <c r="C296" s="29"/>
      <c r="D296" s="29"/>
      <c r="E296" s="29"/>
      <c r="F296" s="29"/>
      <c r="G296" s="29"/>
      <c r="H296" s="29"/>
      <c r="I296" s="29"/>
      <c r="J296" s="98" t="str" cm="1">
        <f t="array" ref="J296">IF(ISBLANK($C296),"",SUMPRODUCT(--(LEFT(D296:I296, 1) = "*"))*50)</f>
        <v/>
      </c>
    </row>
    <row r="297" spans="1:10" ht="27" customHeight="1">
      <c r="A297" s="29"/>
      <c r="B297" s="98" t="str">
        <f t="shared" si="4"/>
        <v/>
      </c>
      <c r="C297" s="29"/>
      <c r="D297" s="29"/>
      <c r="E297" s="29"/>
      <c r="F297" s="29"/>
      <c r="G297" s="29"/>
      <c r="H297" s="29"/>
      <c r="I297" s="29"/>
      <c r="J297" s="98" t="str" cm="1">
        <f t="array" ref="J297">IF(ISBLANK($C297),"",SUMPRODUCT(--(LEFT(D297:I297, 1) = "*"))*50)</f>
        <v/>
      </c>
    </row>
    <row r="298" spans="1:10" ht="27" customHeight="1">
      <c r="A298" s="29"/>
      <c r="B298" s="98" t="str">
        <f t="shared" si="4"/>
        <v/>
      </c>
      <c r="C298" s="29"/>
      <c r="D298" s="29"/>
      <c r="E298" s="29"/>
      <c r="F298" s="29"/>
      <c r="G298" s="29"/>
      <c r="H298" s="29"/>
      <c r="I298" s="29"/>
      <c r="J298" s="98" t="str" cm="1">
        <f t="array" ref="J298">IF(ISBLANK($C298),"",SUMPRODUCT(--(LEFT(D298:I298, 1) = "*"))*50)</f>
        <v/>
      </c>
    </row>
    <row r="299" spans="1:10" ht="27" customHeight="1">
      <c r="A299" s="29"/>
      <c r="B299" s="98" t="str">
        <f t="shared" si="4"/>
        <v/>
      </c>
      <c r="C299" s="29"/>
      <c r="D299" s="29"/>
      <c r="E299" s="29"/>
      <c r="F299" s="29"/>
      <c r="G299" s="29"/>
      <c r="H299" s="29"/>
      <c r="I299" s="29"/>
      <c r="J299" s="98" t="str" cm="1">
        <f t="array" ref="J299">IF(ISBLANK($C299),"",SUMPRODUCT(--(LEFT(D299:I299, 1) = "*"))*50)</f>
        <v/>
      </c>
    </row>
    <row r="300" spans="1:10" ht="27" customHeight="1">
      <c r="A300" s="29"/>
      <c r="B300" s="98" t="str">
        <f t="shared" si="4"/>
        <v/>
      </c>
      <c r="C300" s="29"/>
      <c r="D300" s="29"/>
      <c r="E300" s="29"/>
      <c r="F300" s="29"/>
      <c r="G300" s="29"/>
      <c r="H300" s="29"/>
      <c r="I300" s="29"/>
      <c r="J300" s="98" t="str" cm="1">
        <f t="array" ref="J300">IF(ISBLANK($C300),"",SUMPRODUCT(--(LEFT(D300:I300, 1) = "*"))*50)</f>
        <v/>
      </c>
    </row>
    <row r="301" spans="1:10" ht="27" customHeight="1">
      <c r="A301" s="29"/>
      <c r="B301" s="98" t="str">
        <f t="shared" si="4"/>
        <v/>
      </c>
      <c r="C301" s="29"/>
      <c r="D301" s="29"/>
      <c r="E301" s="29"/>
      <c r="F301" s="29"/>
      <c r="G301" s="29"/>
      <c r="H301" s="29"/>
      <c r="I301" s="29"/>
      <c r="J301" s="98" t="str" cm="1">
        <f t="array" ref="J301">IF(ISBLANK($C301),"",SUMPRODUCT(--(LEFT(D301:I301, 1) = "*"))*50)</f>
        <v/>
      </c>
    </row>
    <row r="302" spans="1:10" ht="27" customHeight="1">
      <c r="A302" s="29"/>
      <c r="B302" s="98" t="str">
        <f t="shared" si="4"/>
        <v/>
      </c>
      <c r="C302" s="29"/>
      <c r="D302" s="29"/>
      <c r="E302" s="29"/>
      <c r="F302" s="29"/>
      <c r="G302" s="29"/>
      <c r="H302" s="29"/>
      <c r="I302" s="29"/>
      <c r="J302" s="98" t="str" cm="1">
        <f t="array" ref="J302">IF(ISBLANK($C302),"",SUMPRODUCT(--(LEFT(D302:I302, 1) = "*"))*50)</f>
        <v/>
      </c>
    </row>
    <row r="303" spans="1:10" ht="27" customHeight="1">
      <c r="A303" s="29"/>
      <c r="B303" s="98" t="str">
        <f t="shared" si="4"/>
        <v/>
      </c>
      <c r="C303" s="29"/>
      <c r="D303" s="29"/>
      <c r="E303" s="29"/>
      <c r="F303" s="29"/>
      <c r="G303" s="29"/>
      <c r="H303" s="29"/>
      <c r="I303" s="29"/>
      <c r="J303" s="98" t="str" cm="1">
        <f t="array" ref="J303">IF(ISBLANK($C303),"",SUMPRODUCT(--(LEFT(D303:I303, 1) = "*"))*50)</f>
        <v/>
      </c>
    </row>
    <row r="304" spans="1:10" ht="27" customHeight="1">
      <c r="A304" s="29"/>
      <c r="B304" s="98" t="str">
        <f t="shared" si="4"/>
        <v/>
      </c>
      <c r="C304" s="29"/>
      <c r="D304" s="29"/>
      <c r="E304" s="29"/>
      <c r="F304" s="29"/>
      <c r="G304" s="29"/>
      <c r="H304" s="29"/>
      <c r="I304" s="29"/>
      <c r="J304" s="98" t="str" cm="1">
        <f t="array" ref="J304">IF(ISBLANK($C304),"",SUMPRODUCT(--(LEFT(D304:I304, 1) = "*"))*50)</f>
        <v/>
      </c>
    </row>
    <row r="305" spans="1:10" ht="27" customHeight="1">
      <c r="A305" s="29"/>
      <c r="B305" s="98" t="str">
        <f t="shared" si="4"/>
        <v/>
      </c>
      <c r="C305" s="29"/>
      <c r="D305" s="29"/>
      <c r="E305" s="29"/>
      <c r="F305" s="29"/>
      <c r="G305" s="29"/>
      <c r="H305" s="29"/>
      <c r="I305" s="29"/>
      <c r="J305" s="98" t="str" cm="1">
        <f t="array" ref="J305">IF(ISBLANK($C305),"",SUMPRODUCT(--(LEFT(D305:I305, 1) = "*"))*50)</f>
        <v/>
      </c>
    </row>
    <row r="306" spans="1:10" ht="27" customHeight="1">
      <c r="A306" s="29"/>
      <c r="B306" s="98" t="str">
        <f t="shared" si="4"/>
        <v/>
      </c>
      <c r="C306" s="29"/>
      <c r="D306" s="29"/>
      <c r="E306" s="29"/>
      <c r="F306" s="29"/>
      <c r="G306" s="29"/>
      <c r="H306" s="29"/>
      <c r="I306" s="29"/>
      <c r="J306" s="98" t="str" cm="1">
        <f t="array" ref="J306">IF(ISBLANK($C306),"",SUMPRODUCT(--(LEFT(D306:I306, 1) = "*"))*50)</f>
        <v/>
      </c>
    </row>
    <row r="307" spans="1:10" ht="27" customHeight="1">
      <c r="A307" s="29"/>
      <c r="B307" s="98" t="str">
        <f t="shared" si="4"/>
        <v/>
      </c>
      <c r="C307" s="29"/>
      <c r="D307" s="29"/>
      <c r="E307" s="29"/>
      <c r="F307" s="29"/>
      <c r="G307" s="29"/>
      <c r="H307" s="29"/>
      <c r="I307" s="29"/>
      <c r="J307" s="98" t="str" cm="1">
        <f t="array" ref="J307">IF(ISBLANK($C307),"",SUMPRODUCT(--(LEFT(D307:I307, 1) = "*"))*50)</f>
        <v/>
      </c>
    </row>
    <row r="308" spans="1:10" ht="27" customHeight="1">
      <c r="A308" s="29"/>
      <c r="B308" s="98" t="str">
        <f t="shared" si="4"/>
        <v/>
      </c>
      <c r="C308" s="29"/>
      <c r="D308" s="29"/>
      <c r="E308" s="29"/>
      <c r="F308" s="29"/>
      <c r="G308" s="29"/>
      <c r="H308" s="29"/>
      <c r="I308" s="29"/>
      <c r="J308" s="98" t="str" cm="1">
        <f t="array" ref="J308">IF(ISBLANK($C308),"",SUMPRODUCT(--(LEFT(D308:I308, 1) = "*"))*50)</f>
        <v/>
      </c>
    </row>
    <row r="309" spans="1:10" ht="27" customHeight="1">
      <c r="A309" s="29"/>
      <c r="B309" s="98" t="str">
        <f t="shared" si="4"/>
        <v/>
      </c>
      <c r="C309" s="29"/>
      <c r="D309" s="29"/>
      <c r="E309" s="29"/>
      <c r="F309" s="29"/>
      <c r="G309" s="29"/>
      <c r="H309" s="29"/>
      <c r="I309" s="29"/>
      <c r="J309" s="98" t="str" cm="1">
        <f t="array" ref="J309">IF(ISBLANK($C309),"",SUMPRODUCT(--(LEFT(D309:I309, 1) = "*"))*50)</f>
        <v/>
      </c>
    </row>
    <row r="310" spans="1:10" ht="27" customHeight="1">
      <c r="A310" s="29"/>
      <c r="B310" s="98" t="str">
        <f t="shared" si="4"/>
        <v/>
      </c>
      <c r="C310" s="29"/>
      <c r="D310" s="29"/>
      <c r="E310" s="29"/>
      <c r="F310" s="29"/>
      <c r="G310" s="29"/>
      <c r="H310" s="29"/>
      <c r="I310" s="29"/>
      <c r="J310" s="98" t="str" cm="1">
        <f t="array" ref="J310">IF(ISBLANK($C310),"",SUMPRODUCT(--(LEFT(D310:I310, 1) = "*"))*50)</f>
        <v/>
      </c>
    </row>
    <row r="311" spans="1:10" ht="27" customHeight="1">
      <c r="A311" s="29"/>
      <c r="B311" s="98" t="str">
        <f t="shared" si="4"/>
        <v/>
      </c>
      <c r="C311" s="29"/>
      <c r="D311" s="29"/>
      <c r="E311" s="29"/>
      <c r="F311" s="29"/>
      <c r="G311" s="29"/>
      <c r="H311" s="29"/>
      <c r="I311" s="29"/>
      <c r="J311" s="98" t="str" cm="1">
        <f t="array" ref="J311">IF(ISBLANK($C311),"",SUMPRODUCT(--(LEFT(D311:I311, 1) = "*"))*50)</f>
        <v/>
      </c>
    </row>
    <row r="312" spans="1:10" ht="27" customHeight="1">
      <c r="A312" s="29"/>
      <c r="B312" s="98" t="str">
        <f t="shared" si="4"/>
        <v/>
      </c>
      <c r="C312" s="29"/>
      <c r="D312" s="29"/>
      <c r="E312" s="29"/>
      <c r="F312" s="29"/>
      <c r="G312" s="29"/>
      <c r="H312" s="29"/>
      <c r="I312" s="29"/>
      <c r="J312" s="98" t="str" cm="1">
        <f t="array" ref="J312">IF(ISBLANK($C312),"",SUMPRODUCT(--(LEFT(D312:I312, 1) = "*"))*50)</f>
        <v/>
      </c>
    </row>
    <row r="313" spans="1:10" ht="27" customHeight="1">
      <c r="A313" s="29"/>
      <c r="B313" s="98" t="str">
        <f t="shared" si="4"/>
        <v/>
      </c>
      <c r="C313" s="29"/>
      <c r="D313" s="29"/>
      <c r="E313" s="29"/>
      <c r="F313" s="29"/>
      <c r="G313" s="29"/>
      <c r="H313" s="29"/>
      <c r="I313" s="29"/>
      <c r="J313" s="98" t="str" cm="1">
        <f t="array" ref="J313">IF(ISBLANK($C313),"",SUMPRODUCT(--(LEFT(D313:I313, 1) = "*"))*50)</f>
        <v/>
      </c>
    </row>
    <row r="314" spans="1:10" ht="27" customHeight="1">
      <c r="A314" s="29"/>
      <c r="B314" s="98" t="str">
        <f t="shared" si="4"/>
        <v/>
      </c>
      <c r="C314" s="29"/>
      <c r="D314" s="29"/>
      <c r="E314" s="29"/>
      <c r="F314" s="29"/>
      <c r="G314" s="29"/>
      <c r="H314" s="29"/>
      <c r="I314" s="29"/>
      <c r="J314" s="98" t="str" cm="1">
        <f t="array" ref="J314">IF(ISBLANK($C314),"",SUMPRODUCT(--(LEFT(D314:I314, 1) = "*"))*50)</f>
        <v/>
      </c>
    </row>
    <row r="315" spans="1:10" ht="27" customHeight="1">
      <c r="A315" s="29"/>
      <c r="B315" s="98" t="str">
        <f t="shared" si="4"/>
        <v/>
      </c>
      <c r="C315" s="29"/>
      <c r="D315" s="29"/>
      <c r="E315" s="29"/>
      <c r="F315" s="29"/>
      <c r="G315" s="29"/>
      <c r="H315" s="29"/>
      <c r="I315" s="29"/>
      <c r="J315" s="98" t="str" cm="1">
        <f t="array" ref="J315">IF(ISBLANK($C315),"",SUMPRODUCT(--(LEFT(D315:I315, 1) = "*"))*50)</f>
        <v/>
      </c>
    </row>
    <row r="316" spans="1:10" ht="27" customHeight="1">
      <c r="A316" s="29"/>
      <c r="B316" s="98" t="str">
        <f t="shared" si="4"/>
        <v/>
      </c>
      <c r="C316" s="29"/>
      <c r="D316" s="29"/>
      <c r="E316" s="29"/>
      <c r="F316" s="29"/>
      <c r="G316" s="29"/>
      <c r="H316" s="29"/>
      <c r="I316" s="29"/>
      <c r="J316" s="98" t="str" cm="1">
        <f t="array" ref="J316">IF(ISBLANK($C316),"",SUMPRODUCT(--(LEFT(D316:I316, 1) = "*"))*50)</f>
        <v/>
      </c>
    </row>
    <row r="317" spans="1:10" ht="27" customHeight="1">
      <c r="A317" s="29"/>
      <c r="B317" s="98" t="str">
        <f t="shared" si="4"/>
        <v/>
      </c>
      <c r="C317" s="29"/>
      <c r="D317" s="29"/>
      <c r="E317" s="29"/>
      <c r="F317" s="29"/>
      <c r="G317" s="29"/>
      <c r="H317" s="29"/>
      <c r="I317" s="29"/>
      <c r="J317" s="98" t="str" cm="1">
        <f t="array" ref="J317">IF(ISBLANK($C317),"",SUMPRODUCT(--(LEFT(D317:I317, 1) = "*"))*50)</f>
        <v/>
      </c>
    </row>
    <row r="318" spans="1:10" ht="27" customHeight="1">
      <c r="A318" s="29"/>
      <c r="B318" s="98" t="str">
        <f t="shared" si="4"/>
        <v/>
      </c>
      <c r="C318" s="29"/>
      <c r="D318" s="29"/>
      <c r="E318" s="29"/>
      <c r="F318" s="29"/>
      <c r="G318" s="29"/>
      <c r="H318" s="29"/>
      <c r="I318" s="29"/>
      <c r="J318" s="98" t="str" cm="1">
        <f t="array" ref="J318">IF(ISBLANK($C318),"",SUMPRODUCT(--(LEFT(D318:I318, 1) = "*"))*50)</f>
        <v/>
      </c>
    </row>
    <row r="319" spans="1:10" ht="27" customHeight="1">
      <c r="A319" s="29"/>
      <c r="B319" s="98" t="str">
        <f t="shared" si="4"/>
        <v/>
      </c>
      <c r="C319" s="29"/>
      <c r="D319" s="29"/>
      <c r="E319" s="29"/>
      <c r="F319" s="29"/>
      <c r="G319" s="29"/>
      <c r="H319" s="29"/>
      <c r="I319" s="29"/>
      <c r="J319" s="98" t="str" cm="1">
        <f t="array" ref="J319">IF(ISBLANK($C319),"",SUMPRODUCT(--(LEFT(D319:I319, 1) = "*"))*50)</f>
        <v/>
      </c>
    </row>
    <row r="320" spans="1:10" ht="27" customHeight="1">
      <c r="A320" s="29"/>
      <c r="B320" s="98" t="str">
        <f t="shared" si="4"/>
        <v/>
      </c>
      <c r="C320" s="29"/>
      <c r="D320" s="29"/>
      <c r="E320" s="29"/>
      <c r="F320" s="29"/>
      <c r="G320" s="29"/>
      <c r="H320" s="29"/>
      <c r="I320" s="29"/>
      <c r="J320" s="98" t="str" cm="1">
        <f t="array" ref="J320">IF(ISBLANK($C320),"",SUMPRODUCT(--(LEFT(D320:I320, 1) = "*"))*50)</f>
        <v/>
      </c>
    </row>
    <row r="321" spans="1:10" ht="27" customHeight="1">
      <c r="A321" s="29"/>
      <c r="B321" s="98" t="str">
        <f t="shared" si="4"/>
        <v/>
      </c>
      <c r="C321" s="29"/>
      <c r="D321" s="29"/>
      <c r="E321" s="29"/>
      <c r="F321" s="29"/>
      <c r="G321" s="29"/>
      <c r="H321" s="29"/>
      <c r="I321" s="29"/>
      <c r="J321" s="98" t="str" cm="1">
        <f t="array" ref="J321">IF(ISBLANK($C321),"",SUMPRODUCT(--(LEFT(D321:I321, 1) = "*"))*50)</f>
        <v/>
      </c>
    </row>
    <row r="322" spans="1:10" ht="27" customHeight="1">
      <c r="A322" s="29"/>
      <c r="B322" s="98" t="str">
        <f t="shared" si="4"/>
        <v/>
      </c>
      <c r="C322" s="29"/>
      <c r="D322" s="29"/>
      <c r="E322" s="29"/>
      <c r="F322" s="29"/>
      <c r="G322" s="29"/>
      <c r="H322" s="29"/>
      <c r="I322" s="29"/>
      <c r="J322" s="98" t="str" cm="1">
        <f t="array" ref="J322">IF(ISBLANK($C322),"",SUMPRODUCT(--(LEFT(D322:I322, 1) = "*"))*50)</f>
        <v/>
      </c>
    </row>
    <row r="323" spans="1:10" ht="27" customHeight="1">
      <c r="A323" s="29"/>
      <c r="B323" s="98" t="str">
        <f t="shared" ref="B323:B386" si="5">IF(ISBLANK($C323),"","MCQ")</f>
        <v/>
      </c>
      <c r="C323" s="29"/>
      <c r="D323" s="29"/>
      <c r="E323" s="29"/>
      <c r="F323" s="29"/>
      <c r="G323" s="29"/>
      <c r="H323" s="29"/>
      <c r="I323" s="29"/>
      <c r="J323" s="98" t="str" cm="1">
        <f t="array" ref="J323">IF(ISBLANK($C323),"",SUMPRODUCT(--(LEFT(D323:I323, 1) = "*"))*50)</f>
        <v/>
      </c>
    </row>
    <row r="324" spans="1:10" ht="27" customHeight="1">
      <c r="A324" s="29"/>
      <c r="B324" s="98" t="str">
        <f t="shared" si="5"/>
        <v/>
      </c>
      <c r="C324" s="29"/>
      <c r="D324" s="29"/>
      <c r="E324" s="29"/>
      <c r="F324" s="29"/>
      <c r="G324" s="29"/>
      <c r="H324" s="29"/>
      <c r="I324" s="29"/>
      <c r="J324" s="98" t="str" cm="1">
        <f t="array" ref="J324">IF(ISBLANK($C324),"",SUMPRODUCT(--(LEFT(D324:I324, 1) = "*"))*50)</f>
        <v/>
      </c>
    </row>
    <row r="325" spans="1:10" ht="27" customHeight="1">
      <c r="A325" s="29"/>
      <c r="B325" s="98" t="str">
        <f t="shared" si="5"/>
        <v/>
      </c>
      <c r="C325" s="29"/>
      <c r="D325" s="29"/>
      <c r="E325" s="29"/>
      <c r="F325" s="29"/>
      <c r="G325" s="29"/>
      <c r="H325" s="29"/>
      <c r="I325" s="29"/>
      <c r="J325" s="98" t="str" cm="1">
        <f t="array" ref="J325">IF(ISBLANK($C325),"",SUMPRODUCT(--(LEFT(D325:I325, 1) = "*"))*50)</f>
        <v/>
      </c>
    </row>
    <row r="326" spans="1:10" ht="27" customHeight="1">
      <c r="A326" s="29"/>
      <c r="B326" s="98" t="str">
        <f t="shared" si="5"/>
        <v/>
      </c>
      <c r="C326" s="29"/>
      <c r="D326" s="29"/>
      <c r="E326" s="29"/>
      <c r="F326" s="29"/>
      <c r="G326" s="29"/>
      <c r="H326" s="29"/>
      <c r="I326" s="29"/>
      <c r="J326" s="98" t="str" cm="1">
        <f t="array" ref="J326">IF(ISBLANK($C326),"",SUMPRODUCT(--(LEFT(D326:I326, 1) = "*"))*50)</f>
        <v/>
      </c>
    </row>
    <row r="327" spans="1:10" ht="27" customHeight="1">
      <c r="A327" s="29"/>
      <c r="B327" s="98" t="str">
        <f t="shared" si="5"/>
        <v/>
      </c>
      <c r="C327" s="29"/>
      <c r="D327" s="29"/>
      <c r="E327" s="29"/>
      <c r="F327" s="29"/>
      <c r="G327" s="29"/>
      <c r="H327" s="29"/>
      <c r="I327" s="29"/>
      <c r="J327" s="98" t="str" cm="1">
        <f t="array" ref="J327">IF(ISBLANK($C327),"",SUMPRODUCT(--(LEFT(D327:I327, 1) = "*"))*50)</f>
        <v/>
      </c>
    </row>
    <row r="328" spans="1:10" ht="27" customHeight="1">
      <c r="A328" s="29"/>
      <c r="B328" s="98" t="str">
        <f t="shared" si="5"/>
        <v/>
      </c>
      <c r="C328" s="29"/>
      <c r="D328" s="29"/>
      <c r="E328" s="29"/>
      <c r="F328" s="29"/>
      <c r="G328" s="29"/>
      <c r="H328" s="29"/>
      <c r="I328" s="29"/>
      <c r="J328" s="98" t="str" cm="1">
        <f t="array" ref="J328">IF(ISBLANK($C328),"",SUMPRODUCT(--(LEFT(D328:I328, 1) = "*"))*50)</f>
        <v/>
      </c>
    </row>
    <row r="329" spans="1:10" ht="27" customHeight="1">
      <c r="A329" s="29"/>
      <c r="B329" s="98" t="str">
        <f t="shared" si="5"/>
        <v/>
      </c>
      <c r="C329" s="29"/>
      <c r="D329" s="29"/>
      <c r="E329" s="29"/>
      <c r="F329" s="29"/>
      <c r="G329" s="29"/>
      <c r="H329" s="29"/>
      <c r="I329" s="29"/>
      <c r="J329" s="98" t="str" cm="1">
        <f t="array" ref="J329">IF(ISBLANK($C329),"",SUMPRODUCT(--(LEFT(D329:I329, 1) = "*"))*50)</f>
        <v/>
      </c>
    </row>
    <row r="330" spans="1:10" ht="27" customHeight="1">
      <c r="A330" s="29"/>
      <c r="B330" s="98" t="str">
        <f t="shared" si="5"/>
        <v/>
      </c>
      <c r="C330" s="29"/>
      <c r="D330" s="29"/>
      <c r="E330" s="29"/>
      <c r="F330" s="29"/>
      <c r="G330" s="29"/>
      <c r="H330" s="29"/>
      <c r="I330" s="29"/>
      <c r="J330" s="98" t="str" cm="1">
        <f t="array" ref="J330">IF(ISBLANK($C330),"",SUMPRODUCT(--(LEFT(D330:I330, 1) = "*"))*50)</f>
        <v/>
      </c>
    </row>
    <row r="331" spans="1:10" ht="27" customHeight="1">
      <c r="A331" s="29"/>
      <c r="B331" s="98" t="str">
        <f t="shared" si="5"/>
        <v/>
      </c>
      <c r="C331" s="29"/>
      <c r="D331" s="29"/>
      <c r="E331" s="29"/>
      <c r="F331" s="29"/>
      <c r="G331" s="29"/>
      <c r="H331" s="29"/>
      <c r="I331" s="29"/>
      <c r="J331" s="98" t="str" cm="1">
        <f t="array" ref="J331">IF(ISBLANK($C331),"",SUMPRODUCT(--(LEFT(D331:I331, 1) = "*"))*50)</f>
        <v/>
      </c>
    </row>
    <row r="332" spans="1:10" ht="27" customHeight="1">
      <c r="A332" s="29"/>
      <c r="B332" s="98" t="str">
        <f t="shared" si="5"/>
        <v/>
      </c>
      <c r="C332" s="29"/>
      <c r="D332" s="29"/>
      <c r="E332" s="29"/>
      <c r="F332" s="29"/>
      <c r="G332" s="29"/>
      <c r="H332" s="29"/>
      <c r="I332" s="29"/>
      <c r="J332" s="98" t="str" cm="1">
        <f t="array" ref="J332">IF(ISBLANK($C332),"",SUMPRODUCT(--(LEFT(D332:I332, 1) = "*"))*50)</f>
        <v/>
      </c>
    </row>
    <row r="333" spans="1:10" ht="27" customHeight="1">
      <c r="A333" s="29"/>
      <c r="B333" s="98" t="str">
        <f t="shared" si="5"/>
        <v/>
      </c>
      <c r="C333" s="29"/>
      <c r="D333" s="29"/>
      <c r="E333" s="29"/>
      <c r="F333" s="29"/>
      <c r="G333" s="29"/>
      <c r="H333" s="29"/>
      <c r="I333" s="29"/>
      <c r="J333" s="98" t="str" cm="1">
        <f t="array" ref="J333">IF(ISBLANK($C333),"",SUMPRODUCT(--(LEFT(D333:I333, 1) = "*"))*50)</f>
        <v/>
      </c>
    </row>
    <row r="334" spans="1:10" ht="27" customHeight="1">
      <c r="A334" s="29"/>
      <c r="B334" s="98" t="str">
        <f t="shared" si="5"/>
        <v/>
      </c>
      <c r="C334" s="29"/>
      <c r="D334" s="29"/>
      <c r="E334" s="29"/>
      <c r="F334" s="29"/>
      <c r="G334" s="29"/>
      <c r="H334" s="29"/>
      <c r="I334" s="29"/>
      <c r="J334" s="98" t="str" cm="1">
        <f t="array" ref="J334">IF(ISBLANK($C334),"",SUMPRODUCT(--(LEFT(D334:I334, 1) = "*"))*50)</f>
        <v/>
      </c>
    </row>
    <row r="335" spans="1:10" ht="27" customHeight="1">
      <c r="A335" s="29"/>
      <c r="B335" s="98" t="str">
        <f t="shared" si="5"/>
        <v/>
      </c>
      <c r="C335" s="29"/>
      <c r="D335" s="29"/>
      <c r="E335" s="29"/>
      <c r="F335" s="29"/>
      <c r="G335" s="29"/>
      <c r="H335" s="29"/>
      <c r="I335" s="29"/>
      <c r="J335" s="98" t="str" cm="1">
        <f t="array" ref="J335">IF(ISBLANK($C335),"",SUMPRODUCT(--(LEFT(D335:I335, 1) = "*"))*50)</f>
        <v/>
      </c>
    </row>
    <row r="336" spans="1:10" ht="27" customHeight="1">
      <c r="A336" s="29"/>
      <c r="B336" s="98" t="str">
        <f t="shared" si="5"/>
        <v/>
      </c>
      <c r="C336" s="29"/>
      <c r="D336" s="29"/>
      <c r="E336" s="29"/>
      <c r="F336" s="29"/>
      <c r="G336" s="29"/>
      <c r="H336" s="29"/>
      <c r="I336" s="29"/>
      <c r="J336" s="98" t="str" cm="1">
        <f t="array" ref="J336">IF(ISBLANK($C336),"",SUMPRODUCT(--(LEFT(D336:I336, 1) = "*"))*50)</f>
        <v/>
      </c>
    </row>
    <row r="337" spans="1:10" ht="27" customHeight="1">
      <c r="A337" s="29"/>
      <c r="B337" s="98" t="str">
        <f t="shared" si="5"/>
        <v/>
      </c>
      <c r="C337" s="29"/>
      <c r="D337" s="29"/>
      <c r="E337" s="29"/>
      <c r="F337" s="29"/>
      <c r="G337" s="29"/>
      <c r="H337" s="29"/>
      <c r="I337" s="29"/>
      <c r="J337" s="98" t="str" cm="1">
        <f t="array" ref="J337">IF(ISBLANK($C337),"",SUMPRODUCT(--(LEFT(D337:I337, 1) = "*"))*50)</f>
        <v/>
      </c>
    </row>
    <row r="338" spans="1:10" ht="27" customHeight="1">
      <c r="A338" s="29"/>
      <c r="B338" s="98" t="str">
        <f t="shared" si="5"/>
        <v/>
      </c>
      <c r="C338" s="29"/>
      <c r="D338" s="29"/>
      <c r="E338" s="29"/>
      <c r="F338" s="29"/>
      <c r="G338" s="29"/>
      <c r="H338" s="29"/>
      <c r="I338" s="29"/>
      <c r="J338" s="98" t="str" cm="1">
        <f t="array" ref="J338">IF(ISBLANK($C338),"",SUMPRODUCT(--(LEFT(D338:I338, 1) = "*"))*50)</f>
        <v/>
      </c>
    </row>
    <row r="339" spans="1:10" ht="27" customHeight="1">
      <c r="A339" s="29"/>
      <c r="B339" s="98" t="str">
        <f t="shared" si="5"/>
        <v/>
      </c>
      <c r="C339" s="29"/>
      <c r="D339" s="29"/>
      <c r="E339" s="29"/>
      <c r="F339" s="29"/>
      <c r="G339" s="29"/>
      <c r="H339" s="29"/>
      <c r="I339" s="29"/>
      <c r="J339" s="98" t="str" cm="1">
        <f t="array" ref="J339">IF(ISBLANK($C339),"",SUMPRODUCT(--(LEFT(D339:I339, 1) = "*"))*50)</f>
        <v/>
      </c>
    </row>
    <row r="340" spans="1:10" ht="27" customHeight="1">
      <c r="A340" s="29"/>
      <c r="B340" s="98" t="str">
        <f t="shared" si="5"/>
        <v/>
      </c>
      <c r="C340" s="29"/>
      <c r="D340" s="29"/>
      <c r="E340" s="29"/>
      <c r="F340" s="29"/>
      <c r="G340" s="29"/>
      <c r="H340" s="29"/>
      <c r="I340" s="29"/>
      <c r="J340" s="98" t="str" cm="1">
        <f t="array" ref="J340">IF(ISBLANK($C340),"",SUMPRODUCT(--(LEFT(D340:I340, 1) = "*"))*50)</f>
        <v/>
      </c>
    </row>
    <row r="341" spans="1:10" ht="27" customHeight="1">
      <c r="A341" s="29"/>
      <c r="B341" s="98" t="str">
        <f t="shared" si="5"/>
        <v/>
      </c>
      <c r="C341" s="29"/>
      <c r="D341" s="29"/>
      <c r="E341" s="29"/>
      <c r="F341" s="29"/>
      <c r="G341" s="29"/>
      <c r="H341" s="29"/>
      <c r="I341" s="29"/>
      <c r="J341" s="98" t="str" cm="1">
        <f t="array" ref="J341">IF(ISBLANK($C341),"",SUMPRODUCT(--(LEFT(D341:I341, 1) = "*"))*50)</f>
        <v/>
      </c>
    </row>
    <row r="342" spans="1:10" ht="27" customHeight="1">
      <c r="A342" s="29"/>
      <c r="B342" s="98" t="str">
        <f t="shared" si="5"/>
        <v/>
      </c>
      <c r="C342" s="29"/>
      <c r="D342" s="29"/>
      <c r="E342" s="29"/>
      <c r="F342" s="29"/>
      <c r="G342" s="29"/>
      <c r="H342" s="29"/>
      <c r="I342" s="29"/>
      <c r="J342" s="98" t="str" cm="1">
        <f t="array" ref="J342">IF(ISBLANK($C342),"",SUMPRODUCT(--(LEFT(D342:I342, 1) = "*"))*50)</f>
        <v/>
      </c>
    </row>
    <row r="343" spans="1:10" ht="27" customHeight="1">
      <c r="A343" s="29"/>
      <c r="B343" s="98" t="str">
        <f t="shared" si="5"/>
        <v/>
      </c>
      <c r="C343" s="29"/>
      <c r="D343" s="29"/>
      <c r="E343" s="29"/>
      <c r="F343" s="29"/>
      <c r="G343" s="29"/>
      <c r="H343" s="29"/>
      <c r="I343" s="29"/>
      <c r="J343" s="98" t="str" cm="1">
        <f t="array" ref="J343">IF(ISBLANK($C343),"",SUMPRODUCT(--(LEFT(D343:I343, 1) = "*"))*50)</f>
        <v/>
      </c>
    </row>
    <row r="344" spans="1:10" ht="27" customHeight="1">
      <c r="A344" s="29"/>
      <c r="B344" s="98" t="str">
        <f t="shared" si="5"/>
        <v/>
      </c>
      <c r="C344" s="29"/>
      <c r="D344" s="29"/>
      <c r="E344" s="29"/>
      <c r="F344" s="29"/>
      <c r="G344" s="29"/>
      <c r="H344" s="29"/>
      <c r="I344" s="29"/>
      <c r="J344" s="98" t="str" cm="1">
        <f t="array" ref="J344">IF(ISBLANK($C344),"",SUMPRODUCT(--(LEFT(D344:I344, 1) = "*"))*50)</f>
        <v/>
      </c>
    </row>
    <row r="345" spans="1:10" ht="27" customHeight="1">
      <c r="A345" s="29"/>
      <c r="B345" s="98" t="str">
        <f t="shared" si="5"/>
        <v/>
      </c>
      <c r="C345" s="29"/>
      <c r="D345" s="29"/>
      <c r="E345" s="29"/>
      <c r="F345" s="29"/>
      <c r="G345" s="29"/>
      <c r="H345" s="29"/>
      <c r="I345" s="29"/>
      <c r="J345" s="98" t="str" cm="1">
        <f t="array" ref="J345">IF(ISBLANK($C345),"",SUMPRODUCT(--(LEFT(D345:I345, 1) = "*"))*50)</f>
        <v/>
      </c>
    </row>
    <row r="346" spans="1:10" ht="27" customHeight="1">
      <c r="A346" s="29"/>
      <c r="B346" s="98" t="str">
        <f t="shared" si="5"/>
        <v/>
      </c>
      <c r="C346" s="29"/>
      <c r="D346" s="29"/>
      <c r="E346" s="29"/>
      <c r="F346" s="29"/>
      <c r="G346" s="29"/>
      <c r="H346" s="29"/>
      <c r="I346" s="29"/>
      <c r="J346" s="98" t="str" cm="1">
        <f t="array" ref="J346">IF(ISBLANK($C346),"",SUMPRODUCT(--(LEFT(D346:I346, 1) = "*"))*50)</f>
        <v/>
      </c>
    </row>
    <row r="347" spans="1:10" ht="27" customHeight="1">
      <c r="A347" s="29"/>
      <c r="B347" s="98" t="str">
        <f t="shared" si="5"/>
        <v/>
      </c>
      <c r="C347" s="29"/>
      <c r="D347" s="29"/>
      <c r="E347" s="29"/>
      <c r="F347" s="29"/>
      <c r="G347" s="29"/>
      <c r="H347" s="29"/>
      <c r="I347" s="29"/>
      <c r="J347" s="98" t="str" cm="1">
        <f t="array" ref="J347">IF(ISBLANK($C347),"",SUMPRODUCT(--(LEFT(D347:I347, 1) = "*"))*50)</f>
        <v/>
      </c>
    </row>
    <row r="348" spans="1:10" ht="27" customHeight="1">
      <c r="A348" s="29"/>
      <c r="B348" s="98" t="str">
        <f t="shared" si="5"/>
        <v/>
      </c>
      <c r="C348" s="29"/>
      <c r="D348" s="29"/>
      <c r="E348" s="29"/>
      <c r="F348" s="29"/>
      <c r="G348" s="29"/>
      <c r="H348" s="29"/>
      <c r="I348" s="29"/>
      <c r="J348" s="98" t="str" cm="1">
        <f t="array" ref="J348">IF(ISBLANK($C348),"",SUMPRODUCT(--(LEFT(D348:I348, 1) = "*"))*50)</f>
        <v/>
      </c>
    </row>
    <row r="349" spans="1:10" ht="27" customHeight="1">
      <c r="A349" s="29"/>
      <c r="B349" s="98" t="str">
        <f t="shared" si="5"/>
        <v/>
      </c>
      <c r="C349" s="29"/>
      <c r="D349" s="29"/>
      <c r="E349" s="29"/>
      <c r="F349" s="29"/>
      <c r="G349" s="29"/>
      <c r="H349" s="29"/>
      <c r="I349" s="29"/>
      <c r="J349" s="98" t="str" cm="1">
        <f t="array" ref="J349">IF(ISBLANK($C349),"",SUMPRODUCT(--(LEFT(D349:I349, 1) = "*"))*50)</f>
        <v/>
      </c>
    </row>
    <row r="350" spans="1:10" ht="27" customHeight="1">
      <c r="A350" s="29"/>
      <c r="B350" s="98" t="str">
        <f t="shared" si="5"/>
        <v/>
      </c>
      <c r="C350" s="29"/>
      <c r="D350" s="29"/>
      <c r="E350" s="29"/>
      <c r="F350" s="29"/>
      <c r="G350" s="29"/>
      <c r="H350" s="29"/>
      <c r="I350" s="29"/>
      <c r="J350" s="98" t="str" cm="1">
        <f t="array" ref="J350">IF(ISBLANK($C350),"",SUMPRODUCT(--(LEFT(D350:I350, 1) = "*"))*50)</f>
        <v/>
      </c>
    </row>
    <row r="351" spans="1:10" ht="27" customHeight="1">
      <c r="A351" s="29"/>
      <c r="B351" s="98" t="str">
        <f t="shared" si="5"/>
        <v/>
      </c>
      <c r="C351" s="29"/>
      <c r="D351" s="29"/>
      <c r="E351" s="29"/>
      <c r="F351" s="29"/>
      <c r="G351" s="29"/>
      <c r="H351" s="29"/>
      <c r="I351" s="29"/>
      <c r="J351" s="98" t="str" cm="1">
        <f t="array" ref="J351">IF(ISBLANK($C351),"",SUMPRODUCT(--(LEFT(D351:I351, 1) = "*"))*50)</f>
        <v/>
      </c>
    </row>
    <row r="352" spans="1:10" ht="27" customHeight="1">
      <c r="A352" s="29"/>
      <c r="B352" s="98" t="str">
        <f t="shared" si="5"/>
        <v/>
      </c>
      <c r="C352" s="29"/>
      <c r="D352" s="29"/>
      <c r="E352" s="29"/>
      <c r="F352" s="29"/>
      <c r="G352" s="29"/>
      <c r="H352" s="29"/>
      <c r="I352" s="29"/>
      <c r="J352" s="98" t="str" cm="1">
        <f t="array" ref="J352">IF(ISBLANK($C352),"",SUMPRODUCT(--(LEFT(D352:I352, 1) = "*"))*50)</f>
        <v/>
      </c>
    </row>
    <row r="353" spans="1:10" ht="27" customHeight="1">
      <c r="A353" s="29"/>
      <c r="B353" s="98" t="str">
        <f t="shared" si="5"/>
        <v/>
      </c>
      <c r="C353" s="29"/>
      <c r="D353" s="29"/>
      <c r="E353" s="29"/>
      <c r="F353" s="29"/>
      <c r="G353" s="29"/>
      <c r="H353" s="29"/>
      <c r="I353" s="29"/>
      <c r="J353" s="98" t="str" cm="1">
        <f t="array" ref="J353">IF(ISBLANK($C353),"",SUMPRODUCT(--(LEFT(D353:I353, 1) = "*"))*50)</f>
        <v/>
      </c>
    </row>
    <row r="354" spans="1:10" ht="27" customHeight="1">
      <c r="A354" s="29"/>
      <c r="B354" s="98" t="str">
        <f t="shared" si="5"/>
        <v/>
      </c>
      <c r="C354" s="29"/>
      <c r="D354" s="29"/>
      <c r="E354" s="29"/>
      <c r="F354" s="29"/>
      <c r="G354" s="29"/>
      <c r="H354" s="29"/>
      <c r="I354" s="29"/>
      <c r="J354" s="98" t="str" cm="1">
        <f t="array" ref="J354">IF(ISBLANK($C354),"",SUMPRODUCT(--(LEFT(D354:I354, 1) = "*"))*50)</f>
        <v/>
      </c>
    </row>
    <row r="355" spans="1:10" ht="27" customHeight="1">
      <c r="A355" s="29"/>
      <c r="B355" s="98" t="str">
        <f t="shared" si="5"/>
        <v/>
      </c>
      <c r="C355" s="29"/>
      <c r="D355" s="29"/>
      <c r="E355" s="29"/>
      <c r="F355" s="29"/>
      <c r="G355" s="29"/>
      <c r="H355" s="29"/>
      <c r="I355" s="29"/>
      <c r="J355" s="98" t="str" cm="1">
        <f t="array" ref="J355">IF(ISBLANK($C355),"",SUMPRODUCT(--(LEFT(D355:I355, 1) = "*"))*50)</f>
        <v/>
      </c>
    </row>
    <row r="356" spans="1:10" ht="27" customHeight="1">
      <c r="A356" s="29"/>
      <c r="B356" s="98" t="str">
        <f t="shared" si="5"/>
        <v/>
      </c>
      <c r="C356" s="29"/>
      <c r="D356" s="29"/>
      <c r="E356" s="29"/>
      <c r="F356" s="29"/>
      <c r="G356" s="29"/>
      <c r="H356" s="29"/>
      <c r="I356" s="29"/>
      <c r="J356" s="98" t="str" cm="1">
        <f t="array" ref="J356">IF(ISBLANK($C356),"",SUMPRODUCT(--(LEFT(D356:I356, 1) = "*"))*50)</f>
        <v/>
      </c>
    </row>
    <row r="357" spans="1:10" ht="27" customHeight="1">
      <c r="A357" s="29"/>
      <c r="B357" s="98" t="str">
        <f t="shared" si="5"/>
        <v/>
      </c>
      <c r="C357" s="29"/>
      <c r="D357" s="29"/>
      <c r="E357" s="29"/>
      <c r="F357" s="29"/>
      <c r="G357" s="29"/>
      <c r="H357" s="29"/>
      <c r="I357" s="29"/>
      <c r="J357" s="98" t="str" cm="1">
        <f t="array" ref="J357">IF(ISBLANK($C357),"",SUMPRODUCT(--(LEFT(D357:I357, 1) = "*"))*50)</f>
        <v/>
      </c>
    </row>
    <row r="358" spans="1:10" ht="27" customHeight="1">
      <c r="A358" s="29"/>
      <c r="B358" s="98" t="str">
        <f t="shared" si="5"/>
        <v/>
      </c>
      <c r="C358" s="29"/>
      <c r="D358" s="29"/>
      <c r="E358" s="29"/>
      <c r="F358" s="29"/>
      <c r="G358" s="29"/>
      <c r="H358" s="29"/>
      <c r="I358" s="29"/>
      <c r="J358" s="98" t="str" cm="1">
        <f t="array" ref="J358">IF(ISBLANK($C358),"",SUMPRODUCT(--(LEFT(D358:I358, 1) = "*"))*50)</f>
        <v/>
      </c>
    </row>
    <row r="359" spans="1:10" ht="27" customHeight="1">
      <c r="A359" s="29"/>
      <c r="B359" s="98" t="str">
        <f t="shared" si="5"/>
        <v/>
      </c>
      <c r="C359" s="29"/>
      <c r="D359" s="29"/>
      <c r="E359" s="29"/>
      <c r="F359" s="29"/>
      <c r="G359" s="29"/>
      <c r="H359" s="29"/>
      <c r="I359" s="29"/>
      <c r="J359" s="98" t="str" cm="1">
        <f t="array" ref="J359">IF(ISBLANK($C359),"",SUMPRODUCT(--(LEFT(D359:I359, 1) = "*"))*50)</f>
        <v/>
      </c>
    </row>
    <row r="360" spans="1:10" ht="27" customHeight="1">
      <c r="A360" s="29"/>
      <c r="B360" s="98" t="str">
        <f t="shared" si="5"/>
        <v/>
      </c>
      <c r="C360" s="29"/>
      <c r="D360" s="29"/>
      <c r="E360" s="29"/>
      <c r="F360" s="29"/>
      <c r="G360" s="29"/>
      <c r="H360" s="29"/>
      <c r="I360" s="29"/>
      <c r="J360" s="98" t="str" cm="1">
        <f t="array" ref="J360">IF(ISBLANK($C360),"",SUMPRODUCT(--(LEFT(D360:I360, 1) = "*"))*50)</f>
        <v/>
      </c>
    </row>
    <row r="361" spans="1:10" ht="27" customHeight="1">
      <c r="A361" s="29"/>
      <c r="B361" s="98" t="str">
        <f t="shared" si="5"/>
        <v/>
      </c>
      <c r="C361" s="29"/>
      <c r="D361" s="29"/>
      <c r="E361" s="29"/>
      <c r="F361" s="29"/>
      <c r="G361" s="29"/>
      <c r="H361" s="29"/>
      <c r="I361" s="29"/>
      <c r="J361" s="98" t="str" cm="1">
        <f t="array" ref="J361">IF(ISBLANK($C361),"",SUMPRODUCT(--(LEFT(D361:I361, 1) = "*"))*50)</f>
        <v/>
      </c>
    </row>
    <row r="362" spans="1:10" ht="27" customHeight="1">
      <c r="A362" s="29"/>
      <c r="B362" s="98" t="str">
        <f t="shared" si="5"/>
        <v/>
      </c>
      <c r="C362" s="29"/>
      <c r="D362" s="29"/>
      <c r="E362" s="29"/>
      <c r="F362" s="29"/>
      <c r="G362" s="29"/>
      <c r="H362" s="29"/>
      <c r="I362" s="29"/>
      <c r="J362" s="98" t="str" cm="1">
        <f t="array" ref="J362">IF(ISBLANK($C362),"",SUMPRODUCT(--(LEFT(D362:I362, 1) = "*"))*50)</f>
        <v/>
      </c>
    </row>
    <row r="363" spans="1:10" ht="27" customHeight="1">
      <c r="A363" s="29"/>
      <c r="B363" s="98" t="str">
        <f t="shared" si="5"/>
        <v/>
      </c>
      <c r="C363" s="29"/>
      <c r="D363" s="29"/>
      <c r="E363" s="29"/>
      <c r="F363" s="29"/>
      <c r="G363" s="29"/>
      <c r="H363" s="29"/>
      <c r="I363" s="29"/>
      <c r="J363" s="98" t="str" cm="1">
        <f t="array" ref="J363">IF(ISBLANK($C363),"",SUMPRODUCT(--(LEFT(D363:I363, 1) = "*"))*50)</f>
        <v/>
      </c>
    </row>
    <row r="364" spans="1:10" ht="27" customHeight="1">
      <c r="A364" s="29"/>
      <c r="B364" s="98" t="str">
        <f t="shared" si="5"/>
        <v/>
      </c>
      <c r="C364" s="29"/>
      <c r="D364" s="29"/>
      <c r="E364" s="29"/>
      <c r="F364" s="29"/>
      <c r="G364" s="29"/>
      <c r="H364" s="29"/>
      <c r="I364" s="29"/>
      <c r="J364" s="98" t="str" cm="1">
        <f t="array" ref="J364">IF(ISBLANK($C364),"",SUMPRODUCT(--(LEFT(D364:I364, 1) = "*"))*50)</f>
        <v/>
      </c>
    </row>
    <row r="365" spans="1:10" ht="27" customHeight="1">
      <c r="A365" s="29"/>
      <c r="B365" s="98" t="str">
        <f t="shared" si="5"/>
        <v/>
      </c>
      <c r="C365" s="29"/>
      <c r="D365" s="29"/>
      <c r="E365" s="29"/>
      <c r="F365" s="29"/>
      <c r="G365" s="29"/>
      <c r="H365" s="29"/>
      <c r="I365" s="29"/>
      <c r="J365" s="98" t="str" cm="1">
        <f t="array" ref="J365">IF(ISBLANK($C365),"",SUMPRODUCT(--(LEFT(D365:I365, 1) = "*"))*50)</f>
        <v/>
      </c>
    </row>
    <row r="366" spans="1:10" ht="27" customHeight="1">
      <c r="A366" s="29"/>
      <c r="B366" s="98" t="str">
        <f t="shared" si="5"/>
        <v/>
      </c>
      <c r="C366" s="29"/>
      <c r="D366" s="29"/>
      <c r="E366" s="29"/>
      <c r="F366" s="29"/>
      <c r="G366" s="29"/>
      <c r="H366" s="29"/>
      <c r="I366" s="29"/>
      <c r="J366" s="98" t="str" cm="1">
        <f t="array" ref="J366">IF(ISBLANK($C366),"",SUMPRODUCT(--(LEFT(D366:I366, 1) = "*"))*50)</f>
        <v/>
      </c>
    </row>
    <row r="367" spans="1:10" ht="27" customHeight="1">
      <c r="A367" s="29"/>
      <c r="B367" s="98" t="str">
        <f t="shared" si="5"/>
        <v/>
      </c>
      <c r="C367" s="29"/>
      <c r="D367" s="29"/>
      <c r="E367" s="29"/>
      <c r="F367" s="29"/>
      <c r="G367" s="29"/>
      <c r="H367" s="29"/>
      <c r="I367" s="29"/>
      <c r="J367" s="98" t="str" cm="1">
        <f t="array" ref="J367">IF(ISBLANK($C367),"",SUMPRODUCT(--(LEFT(D367:I367, 1) = "*"))*50)</f>
        <v/>
      </c>
    </row>
    <row r="368" spans="1:10" ht="27" customHeight="1">
      <c r="A368" s="29"/>
      <c r="B368" s="98" t="str">
        <f t="shared" si="5"/>
        <v/>
      </c>
      <c r="C368" s="29"/>
      <c r="D368" s="29"/>
      <c r="E368" s="29"/>
      <c r="F368" s="29"/>
      <c r="G368" s="29"/>
      <c r="H368" s="29"/>
      <c r="I368" s="29"/>
      <c r="J368" s="98" t="str" cm="1">
        <f t="array" ref="J368">IF(ISBLANK($C368),"",SUMPRODUCT(--(LEFT(D368:I368, 1) = "*"))*50)</f>
        <v/>
      </c>
    </row>
    <row r="369" spans="1:10" ht="27" customHeight="1">
      <c r="A369" s="29"/>
      <c r="B369" s="98" t="str">
        <f t="shared" si="5"/>
        <v/>
      </c>
      <c r="C369" s="29"/>
      <c r="D369" s="29"/>
      <c r="E369" s="29"/>
      <c r="F369" s="29"/>
      <c r="G369" s="29"/>
      <c r="H369" s="29"/>
      <c r="I369" s="29"/>
      <c r="J369" s="98" t="str" cm="1">
        <f t="array" ref="J369">IF(ISBLANK($C369),"",SUMPRODUCT(--(LEFT(D369:I369, 1) = "*"))*50)</f>
        <v/>
      </c>
    </row>
    <row r="370" spans="1:10" ht="27" customHeight="1">
      <c r="A370" s="29"/>
      <c r="B370" s="98" t="str">
        <f t="shared" si="5"/>
        <v/>
      </c>
      <c r="C370" s="29"/>
      <c r="D370" s="29"/>
      <c r="E370" s="29"/>
      <c r="F370" s="29"/>
      <c r="G370" s="29"/>
      <c r="H370" s="29"/>
      <c r="I370" s="29"/>
      <c r="J370" s="98" t="str" cm="1">
        <f t="array" ref="J370">IF(ISBLANK($C370),"",SUMPRODUCT(--(LEFT(D370:I370, 1) = "*"))*50)</f>
        <v/>
      </c>
    </row>
    <row r="371" spans="1:10" ht="27" customHeight="1">
      <c r="A371" s="29"/>
      <c r="B371" s="98" t="str">
        <f t="shared" si="5"/>
        <v/>
      </c>
      <c r="C371" s="29"/>
      <c r="D371" s="29"/>
      <c r="E371" s="29"/>
      <c r="F371" s="29"/>
      <c r="G371" s="29"/>
      <c r="H371" s="29"/>
      <c r="I371" s="29"/>
      <c r="J371" s="98" t="str" cm="1">
        <f t="array" ref="J371">IF(ISBLANK($C371),"",SUMPRODUCT(--(LEFT(D371:I371, 1) = "*"))*50)</f>
        <v/>
      </c>
    </row>
    <row r="372" spans="1:10" ht="27" customHeight="1">
      <c r="A372" s="29"/>
      <c r="B372" s="98" t="str">
        <f t="shared" si="5"/>
        <v/>
      </c>
      <c r="C372" s="29"/>
      <c r="D372" s="29"/>
      <c r="E372" s="29"/>
      <c r="F372" s="29"/>
      <c r="G372" s="29"/>
      <c r="H372" s="29"/>
      <c r="I372" s="29"/>
      <c r="J372" s="98" t="str" cm="1">
        <f t="array" ref="J372">IF(ISBLANK($C372),"",SUMPRODUCT(--(LEFT(D372:I372, 1) = "*"))*50)</f>
        <v/>
      </c>
    </row>
    <row r="373" spans="1:10" ht="27" customHeight="1">
      <c r="A373" s="29"/>
      <c r="B373" s="98" t="str">
        <f t="shared" si="5"/>
        <v/>
      </c>
      <c r="C373" s="29"/>
      <c r="D373" s="29"/>
      <c r="E373" s="29"/>
      <c r="F373" s="29"/>
      <c r="G373" s="29"/>
      <c r="H373" s="29"/>
      <c r="I373" s="29"/>
      <c r="J373" s="98" t="str" cm="1">
        <f t="array" ref="J373">IF(ISBLANK($C373),"",SUMPRODUCT(--(LEFT(D373:I373, 1) = "*"))*50)</f>
        <v/>
      </c>
    </row>
    <row r="374" spans="1:10" ht="27" customHeight="1">
      <c r="A374" s="29"/>
      <c r="B374" s="98" t="str">
        <f t="shared" si="5"/>
        <v/>
      </c>
      <c r="C374" s="29"/>
      <c r="D374" s="29"/>
      <c r="E374" s="29"/>
      <c r="F374" s="29"/>
      <c r="G374" s="29"/>
      <c r="H374" s="29"/>
      <c r="I374" s="29"/>
      <c r="J374" s="98" t="str" cm="1">
        <f t="array" ref="J374">IF(ISBLANK($C374),"",SUMPRODUCT(--(LEFT(D374:I374, 1) = "*"))*50)</f>
        <v/>
      </c>
    </row>
    <row r="375" spans="1:10" ht="27" customHeight="1">
      <c r="A375" s="29"/>
      <c r="B375" s="98" t="str">
        <f t="shared" si="5"/>
        <v/>
      </c>
      <c r="C375" s="29"/>
      <c r="D375" s="29"/>
      <c r="E375" s="29"/>
      <c r="F375" s="29"/>
      <c r="G375" s="29"/>
      <c r="H375" s="29"/>
      <c r="I375" s="29"/>
      <c r="J375" s="98" t="str" cm="1">
        <f t="array" ref="J375">IF(ISBLANK($C375),"",SUMPRODUCT(--(LEFT(D375:I375, 1) = "*"))*50)</f>
        <v/>
      </c>
    </row>
    <row r="376" spans="1:10" ht="27" customHeight="1">
      <c r="A376" s="29"/>
      <c r="B376" s="98" t="str">
        <f t="shared" si="5"/>
        <v/>
      </c>
      <c r="C376" s="29"/>
      <c r="D376" s="29"/>
      <c r="E376" s="29"/>
      <c r="F376" s="29"/>
      <c r="G376" s="29"/>
      <c r="H376" s="29"/>
      <c r="I376" s="29"/>
      <c r="J376" s="98" t="str" cm="1">
        <f t="array" ref="J376">IF(ISBLANK($C376),"",SUMPRODUCT(--(LEFT(D376:I376, 1) = "*"))*50)</f>
        <v/>
      </c>
    </row>
    <row r="377" spans="1:10" ht="27" customHeight="1">
      <c r="A377" s="29"/>
      <c r="B377" s="98" t="str">
        <f t="shared" si="5"/>
        <v/>
      </c>
      <c r="C377" s="29"/>
      <c r="D377" s="29"/>
      <c r="E377" s="29"/>
      <c r="F377" s="29"/>
      <c r="G377" s="29"/>
      <c r="H377" s="29"/>
      <c r="I377" s="29"/>
      <c r="J377" s="98" t="str" cm="1">
        <f t="array" ref="J377">IF(ISBLANK($C377),"",SUMPRODUCT(--(LEFT(D377:I377, 1) = "*"))*50)</f>
        <v/>
      </c>
    </row>
    <row r="378" spans="1:10" ht="27" customHeight="1">
      <c r="A378" s="29"/>
      <c r="B378" s="98" t="str">
        <f t="shared" si="5"/>
        <v/>
      </c>
      <c r="C378" s="29"/>
      <c r="D378" s="29"/>
      <c r="E378" s="29"/>
      <c r="F378" s="29"/>
      <c r="G378" s="29"/>
      <c r="H378" s="29"/>
      <c r="I378" s="29"/>
      <c r="J378" s="98" t="str" cm="1">
        <f t="array" ref="J378">IF(ISBLANK($C378),"",SUMPRODUCT(--(LEFT(D378:I378, 1) = "*"))*50)</f>
        <v/>
      </c>
    </row>
    <row r="379" spans="1:10" ht="27" customHeight="1">
      <c r="A379" s="29"/>
      <c r="B379" s="98" t="str">
        <f t="shared" si="5"/>
        <v/>
      </c>
      <c r="C379" s="29"/>
      <c r="D379" s="29"/>
      <c r="E379" s="29"/>
      <c r="F379" s="29"/>
      <c r="G379" s="29"/>
      <c r="H379" s="29"/>
      <c r="I379" s="29"/>
      <c r="J379" s="98" t="str" cm="1">
        <f t="array" ref="J379">IF(ISBLANK($C379),"",SUMPRODUCT(--(LEFT(D379:I379, 1) = "*"))*50)</f>
        <v/>
      </c>
    </row>
    <row r="380" spans="1:10" ht="27" customHeight="1">
      <c r="A380" s="29"/>
      <c r="B380" s="98" t="str">
        <f t="shared" si="5"/>
        <v/>
      </c>
      <c r="C380" s="29"/>
      <c r="D380" s="29"/>
      <c r="E380" s="29"/>
      <c r="F380" s="29"/>
      <c r="G380" s="29"/>
      <c r="H380" s="29"/>
      <c r="I380" s="29"/>
      <c r="J380" s="98" t="str" cm="1">
        <f t="array" ref="J380">IF(ISBLANK($C380),"",SUMPRODUCT(--(LEFT(D380:I380, 1) = "*"))*50)</f>
        <v/>
      </c>
    </row>
    <row r="381" spans="1:10" ht="27" customHeight="1">
      <c r="A381" s="29"/>
      <c r="B381" s="98" t="str">
        <f t="shared" si="5"/>
        <v/>
      </c>
      <c r="C381" s="29"/>
      <c r="D381" s="29"/>
      <c r="E381" s="29"/>
      <c r="F381" s="29"/>
      <c r="G381" s="29"/>
      <c r="H381" s="29"/>
      <c r="I381" s="29"/>
      <c r="J381" s="98" t="str" cm="1">
        <f t="array" ref="J381">IF(ISBLANK($C381),"",SUMPRODUCT(--(LEFT(D381:I381, 1) = "*"))*50)</f>
        <v/>
      </c>
    </row>
    <row r="382" spans="1:10" ht="27" customHeight="1">
      <c r="A382" s="29"/>
      <c r="B382" s="98" t="str">
        <f t="shared" si="5"/>
        <v/>
      </c>
      <c r="C382" s="29"/>
      <c r="D382" s="29"/>
      <c r="E382" s="29"/>
      <c r="F382" s="29"/>
      <c r="G382" s="29"/>
      <c r="H382" s="29"/>
      <c r="I382" s="29"/>
      <c r="J382" s="98" t="str" cm="1">
        <f t="array" ref="J382">IF(ISBLANK($C382),"",SUMPRODUCT(--(LEFT(D382:I382, 1) = "*"))*50)</f>
        <v/>
      </c>
    </row>
    <row r="383" spans="1:10" ht="27" customHeight="1">
      <c r="A383" s="29"/>
      <c r="B383" s="98" t="str">
        <f t="shared" si="5"/>
        <v/>
      </c>
      <c r="C383" s="29"/>
      <c r="D383" s="29"/>
      <c r="E383" s="29"/>
      <c r="F383" s="29"/>
      <c r="G383" s="29"/>
      <c r="H383" s="29"/>
      <c r="I383" s="29"/>
      <c r="J383" s="98" t="str" cm="1">
        <f t="array" ref="J383">IF(ISBLANK($C383),"",SUMPRODUCT(--(LEFT(D383:I383, 1) = "*"))*50)</f>
        <v/>
      </c>
    </row>
    <row r="384" spans="1:10" ht="27" customHeight="1">
      <c r="A384" s="29"/>
      <c r="B384" s="98" t="str">
        <f t="shared" si="5"/>
        <v/>
      </c>
      <c r="C384" s="29"/>
      <c r="D384" s="29"/>
      <c r="E384" s="29"/>
      <c r="F384" s="29"/>
      <c r="G384" s="29"/>
      <c r="H384" s="29"/>
      <c r="I384" s="29"/>
      <c r="J384" s="98" t="str" cm="1">
        <f t="array" ref="J384">IF(ISBLANK($C384),"",SUMPRODUCT(--(LEFT(D384:I384, 1) = "*"))*50)</f>
        <v/>
      </c>
    </row>
    <row r="385" spans="1:10" ht="27" customHeight="1">
      <c r="A385" s="29"/>
      <c r="B385" s="98" t="str">
        <f t="shared" si="5"/>
        <v/>
      </c>
      <c r="C385" s="29"/>
      <c r="D385" s="29"/>
      <c r="E385" s="29"/>
      <c r="F385" s="29"/>
      <c r="G385" s="29"/>
      <c r="H385" s="29"/>
      <c r="I385" s="29"/>
      <c r="J385" s="98" t="str" cm="1">
        <f t="array" ref="J385">IF(ISBLANK($C385),"",SUMPRODUCT(--(LEFT(D385:I385, 1) = "*"))*50)</f>
        <v/>
      </c>
    </row>
    <row r="386" spans="1:10" ht="27" customHeight="1">
      <c r="A386" s="29"/>
      <c r="B386" s="98" t="str">
        <f t="shared" si="5"/>
        <v/>
      </c>
      <c r="C386" s="29"/>
      <c r="D386" s="29"/>
      <c r="E386" s="29"/>
      <c r="F386" s="29"/>
      <c r="G386" s="29"/>
      <c r="H386" s="29"/>
      <c r="I386" s="29"/>
      <c r="J386" s="98" t="str" cm="1">
        <f t="array" ref="J386">IF(ISBLANK($C386),"",SUMPRODUCT(--(LEFT(D386:I386, 1) = "*"))*50)</f>
        <v/>
      </c>
    </row>
    <row r="387" spans="1:10" ht="27" customHeight="1">
      <c r="A387" s="29"/>
      <c r="B387" s="98" t="str">
        <f t="shared" ref="B387:B450" si="6">IF(ISBLANK($C387),"","MCQ")</f>
        <v/>
      </c>
      <c r="C387" s="29"/>
      <c r="D387" s="29"/>
      <c r="E387" s="29"/>
      <c r="F387" s="29"/>
      <c r="G387" s="29"/>
      <c r="H387" s="29"/>
      <c r="I387" s="29"/>
      <c r="J387" s="98" t="str" cm="1">
        <f t="array" ref="J387">IF(ISBLANK($C387),"",SUMPRODUCT(--(LEFT(D387:I387, 1) = "*"))*50)</f>
        <v/>
      </c>
    </row>
    <row r="388" spans="1:10" ht="27" customHeight="1">
      <c r="A388" s="29"/>
      <c r="B388" s="98" t="str">
        <f t="shared" si="6"/>
        <v/>
      </c>
      <c r="C388" s="29"/>
      <c r="D388" s="29"/>
      <c r="E388" s="29"/>
      <c r="F388" s="29"/>
      <c r="G388" s="29"/>
      <c r="H388" s="29"/>
      <c r="I388" s="29"/>
      <c r="J388" s="98" t="str" cm="1">
        <f t="array" ref="J388">IF(ISBLANK($C388),"",SUMPRODUCT(--(LEFT(D388:I388, 1) = "*"))*50)</f>
        <v/>
      </c>
    </row>
    <row r="389" spans="1:10" ht="27" customHeight="1">
      <c r="A389" s="29"/>
      <c r="B389" s="98" t="str">
        <f t="shared" si="6"/>
        <v/>
      </c>
      <c r="C389" s="29"/>
      <c r="D389" s="29"/>
      <c r="E389" s="29"/>
      <c r="F389" s="29"/>
      <c r="G389" s="29"/>
      <c r="H389" s="29"/>
      <c r="I389" s="29"/>
      <c r="J389" s="98" t="str" cm="1">
        <f t="array" ref="J389">IF(ISBLANK($C389),"",SUMPRODUCT(--(LEFT(D389:I389, 1) = "*"))*50)</f>
        <v/>
      </c>
    </row>
    <row r="390" spans="1:10" ht="27" customHeight="1">
      <c r="A390" s="29"/>
      <c r="B390" s="98" t="str">
        <f t="shared" si="6"/>
        <v/>
      </c>
      <c r="C390" s="29"/>
      <c r="D390" s="29"/>
      <c r="E390" s="29"/>
      <c r="F390" s="29"/>
      <c r="G390" s="29"/>
      <c r="H390" s="29"/>
      <c r="I390" s="29"/>
      <c r="J390" s="98" t="str" cm="1">
        <f t="array" ref="J390">IF(ISBLANK($C390),"",SUMPRODUCT(--(LEFT(D390:I390, 1) = "*"))*50)</f>
        <v/>
      </c>
    </row>
    <row r="391" spans="1:10" ht="27" customHeight="1">
      <c r="A391" s="29"/>
      <c r="B391" s="98" t="str">
        <f t="shared" si="6"/>
        <v/>
      </c>
      <c r="C391" s="29"/>
      <c r="D391" s="29"/>
      <c r="E391" s="29"/>
      <c r="F391" s="29"/>
      <c r="G391" s="29"/>
      <c r="H391" s="29"/>
      <c r="I391" s="29"/>
      <c r="J391" s="98" t="str" cm="1">
        <f t="array" ref="J391">IF(ISBLANK($C391),"",SUMPRODUCT(--(LEFT(D391:I391, 1) = "*"))*50)</f>
        <v/>
      </c>
    </row>
    <row r="392" spans="1:10" ht="27" customHeight="1">
      <c r="A392" s="29"/>
      <c r="B392" s="98" t="str">
        <f t="shared" si="6"/>
        <v/>
      </c>
      <c r="C392" s="29"/>
      <c r="D392" s="29"/>
      <c r="E392" s="29"/>
      <c r="F392" s="29"/>
      <c r="G392" s="29"/>
      <c r="H392" s="29"/>
      <c r="I392" s="29"/>
      <c r="J392" s="98" t="str" cm="1">
        <f t="array" ref="J392">IF(ISBLANK($C392),"",SUMPRODUCT(--(LEFT(D392:I392, 1) = "*"))*50)</f>
        <v/>
      </c>
    </row>
    <row r="393" spans="1:10" ht="27" customHeight="1">
      <c r="A393" s="29"/>
      <c r="B393" s="98" t="str">
        <f t="shared" si="6"/>
        <v/>
      </c>
      <c r="C393" s="29"/>
      <c r="D393" s="29"/>
      <c r="E393" s="29"/>
      <c r="F393" s="29"/>
      <c r="G393" s="29"/>
      <c r="H393" s="29"/>
      <c r="I393" s="29"/>
      <c r="J393" s="98" t="str" cm="1">
        <f t="array" ref="J393">IF(ISBLANK($C393),"",SUMPRODUCT(--(LEFT(D393:I393, 1) = "*"))*50)</f>
        <v/>
      </c>
    </row>
    <row r="394" spans="1:10" ht="27" customHeight="1">
      <c r="A394" s="29"/>
      <c r="B394" s="98" t="str">
        <f t="shared" si="6"/>
        <v/>
      </c>
      <c r="C394" s="29"/>
      <c r="D394" s="29"/>
      <c r="E394" s="29"/>
      <c r="F394" s="29"/>
      <c r="G394" s="29"/>
      <c r="H394" s="29"/>
      <c r="I394" s="29"/>
      <c r="J394" s="98" t="str" cm="1">
        <f t="array" ref="J394">IF(ISBLANK($C394),"",SUMPRODUCT(--(LEFT(D394:I394, 1) = "*"))*50)</f>
        <v/>
      </c>
    </row>
    <row r="395" spans="1:10" ht="27" customHeight="1">
      <c r="A395" s="29"/>
      <c r="B395" s="98" t="str">
        <f t="shared" si="6"/>
        <v/>
      </c>
      <c r="C395" s="29"/>
      <c r="D395" s="29"/>
      <c r="E395" s="29"/>
      <c r="F395" s="29"/>
      <c r="G395" s="29"/>
      <c r="H395" s="29"/>
      <c r="I395" s="29"/>
      <c r="J395" s="98" t="str" cm="1">
        <f t="array" ref="J395">IF(ISBLANK($C395),"",SUMPRODUCT(--(LEFT(D395:I395, 1) = "*"))*50)</f>
        <v/>
      </c>
    </row>
    <row r="396" spans="1:10" ht="27" customHeight="1">
      <c r="A396" s="29"/>
      <c r="B396" s="98" t="str">
        <f t="shared" si="6"/>
        <v/>
      </c>
      <c r="C396" s="29"/>
      <c r="D396" s="29"/>
      <c r="E396" s="29"/>
      <c r="F396" s="29"/>
      <c r="G396" s="29"/>
      <c r="H396" s="29"/>
      <c r="I396" s="29"/>
      <c r="J396" s="98" t="str" cm="1">
        <f t="array" ref="J396">IF(ISBLANK($C396),"",SUMPRODUCT(--(LEFT(D396:I396, 1) = "*"))*50)</f>
        <v/>
      </c>
    </row>
    <row r="397" spans="1:10" ht="27" customHeight="1">
      <c r="A397" s="29"/>
      <c r="B397" s="98" t="str">
        <f t="shared" si="6"/>
        <v/>
      </c>
      <c r="C397" s="29"/>
      <c r="D397" s="29"/>
      <c r="E397" s="29"/>
      <c r="F397" s="29"/>
      <c r="G397" s="29"/>
      <c r="H397" s="29"/>
      <c r="I397" s="29"/>
      <c r="J397" s="98" t="str" cm="1">
        <f t="array" ref="J397">IF(ISBLANK($C397),"",SUMPRODUCT(--(LEFT(D397:I397, 1) = "*"))*50)</f>
        <v/>
      </c>
    </row>
    <row r="398" spans="1:10" ht="27" customHeight="1">
      <c r="A398" s="29"/>
      <c r="B398" s="98" t="str">
        <f t="shared" si="6"/>
        <v/>
      </c>
      <c r="C398" s="29"/>
      <c r="D398" s="29"/>
      <c r="E398" s="29"/>
      <c r="F398" s="29"/>
      <c r="G398" s="29"/>
      <c r="H398" s="29"/>
      <c r="I398" s="29"/>
      <c r="J398" s="98" t="str" cm="1">
        <f t="array" ref="J398">IF(ISBLANK($C398),"",SUMPRODUCT(--(LEFT(D398:I398, 1) = "*"))*50)</f>
        <v/>
      </c>
    </row>
    <row r="399" spans="1:10" ht="27" customHeight="1">
      <c r="A399" s="29"/>
      <c r="B399" s="98" t="str">
        <f t="shared" si="6"/>
        <v/>
      </c>
      <c r="C399" s="29"/>
      <c r="D399" s="29"/>
      <c r="E399" s="29"/>
      <c r="F399" s="29"/>
      <c r="G399" s="29"/>
      <c r="H399" s="29"/>
      <c r="I399" s="29"/>
      <c r="J399" s="98" t="str" cm="1">
        <f t="array" ref="J399">IF(ISBLANK($C399),"",SUMPRODUCT(--(LEFT(D399:I399, 1) = "*"))*50)</f>
        <v/>
      </c>
    </row>
    <row r="400" spans="1:10" ht="27" customHeight="1">
      <c r="A400" s="29"/>
      <c r="B400" s="98" t="str">
        <f t="shared" si="6"/>
        <v/>
      </c>
      <c r="C400" s="29"/>
      <c r="D400" s="29"/>
      <c r="E400" s="29"/>
      <c r="F400" s="29"/>
      <c r="G400" s="29"/>
      <c r="H400" s="29"/>
      <c r="I400" s="29"/>
      <c r="J400" s="98" t="str" cm="1">
        <f t="array" ref="J400">IF(ISBLANK($C400),"",SUMPRODUCT(--(LEFT(D400:I400, 1) = "*"))*50)</f>
        <v/>
      </c>
    </row>
    <row r="401" spans="1:10" ht="27" customHeight="1">
      <c r="A401" s="29"/>
      <c r="B401" s="98" t="str">
        <f t="shared" si="6"/>
        <v/>
      </c>
      <c r="C401" s="29"/>
      <c r="D401" s="29"/>
      <c r="E401" s="29"/>
      <c r="F401" s="29"/>
      <c r="G401" s="29"/>
      <c r="H401" s="29"/>
      <c r="I401" s="29"/>
      <c r="J401" s="98" t="str" cm="1">
        <f t="array" ref="J401">IF(ISBLANK($C401),"",SUMPRODUCT(--(LEFT(D401:I401, 1) = "*"))*50)</f>
        <v/>
      </c>
    </row>
    <row r="402" spans="1:10" ht="27" customHeight="1">
      <c r="A402" s="29"/>
      <c r="B402" s="98" t="str">
        <f t="shared" si="6"/>
        <v/>
      </c>
      <c r="C402" s="29"/>
      <c r="D402" s="29"/>
      <c r="E402" s="29"/>
      <c r="F402" s="29"/>
      <c r="G402" s="29"/>
      <c r="H402" s="29"/>
      <c r="I402" s="29"/>
      <c r="J402" s="98" t="str" cm="1">
        <f t="array" ref="J402">IF(ISBLANK($C402),"",SUMPRODUCT(--(LEFT(D402:I402, 1) = "*"))*50)</f>
        <v/>
      </c>
    </row>
    <row r="403" spans="1:10" ht="27" customHeight="1">
      <c r="A403" s="29"/>
      <c r="B403" s="98" t="str">
        <f t="shared" si="6"/>
        <v/>
      </c>
      <c r="C403" s="29"/>
      <c r="D403" s="29"/>
      <c r="E403" s="29"/>
      <c r="F403" s="29"/>
      <c r="G403" s="29"/>
      <c r="H403" s="29"/>
      <c r="I403" s="29"/>
      <c r="J403" s="98" t="str" cm="1">
        <f t="array" ref="J403">IF(ISBLANK($C403),"",SUMPRODUCT(--(LEFT(D403:I403, 1) = "*"))*50)</f>
        <v/>
      </c>
    </row>
    <row r="404" spans="1:10" ht="27" customHeight="1">
      <c r="A404" s="29"/>
      <c r="B404" s="98" t="str">
        <f t="shared" si="6"/>
        <v/>
      </c>
      <c r="C404" s="29"/>
      <c r="D404" s="29"/>
      <c r="E404" s="29"/>
      <c r="F404" s="29"/>
      <c r="G404" s="29"/>
      <c r="H404" s="29"/>
      <c r="I404" s="29"/>
      <c r="J404" s="98" t="str" cm="1">
        <f t="array" ref="J404">IF(ISBLANK($C404),"",SUMPRODUCT(--(LEFT(D404:I404, 1) = "*"))*50)</f>
        <v/>
      </c>
    </row>
    <row r="405" spans="1:10" ht="27" customHeight="1">
      <c r="A405" s="29"/>
      <c r="B405" s="98" t="str">
        <f t="shared" si="6"/>
        <v/>
      </c>
      <c r="C405" s="29"/>
      <c r="D405" s="29"/>
      <c r="E405" s="29"/>
      <c r="F405" s="29"/>
      <c r="G405" s="29"/>
      <c r="H405" s="29"/>
      <c r="I405" s="29"/>
      <c r="J405" s="98" t="str" cm="1">
        <f t="array" ref="J405">IF(ISBLANK($C405),"",SUMPRODUCT(--(LEFT(D405:I405, 1) = "*"))*50)</f>
        <v/>
      </c>
    </row>
    <row r="406" spans="1:10" ht="27" customHeight="1">
      <c r="A406" s="29"/>
      <c r="B406" s="98" t="str">
        <f t="shared" si="6"/>
        <v/>
      </c>
      <c r="C406" s="29"/>
      <c r="D406" s="29"/>
      <c r="E406" s="29"/>
      <c r="F406" s="29"/>
      <c r="G406" s="29"/>
      <c r="H406" s="29"/>
      <c r="I406" s="29"/>
      <c r="J406" s="98" t="str" cm="1">
        <f t="array" ref="J406">IF(ISBLANK($C406),"",SUMPRODUCT(--(LEFT(D406:I406, 1) = "*"))*50)</f>
        <v/>
      </c>
    </row>
    <row r="407" spans="1:10" ht="27" customHeight="1">
      <c r="A407" s="29"/>
      <c r="B407" s="98" t="str">
        <f t="shared" si="6"/>
        <v/>
      </c>
      <c r="C407" s="29"/>
      <c r="D407" s="29"/>
      <c r="E407" s="29"/>
      <c r="F407" s="29"/>
      <c r="G407" s="29"/>
      <c r="H407" s="29"/>
      <c r="I407" s="29"/>
      <c r="J407" s="98" t="str" cm="1">
        <f t="array" ref="J407">IF(ISBLANK($C407),"",SUMPRODUCT(--(LEFT(D407:I407, 1) = "*"))*50)</f>
        <v/>
      </c>
    </row>
    <row r="408" spans="1:10" ht="27" customHeight="1">
      <c r="A408" s="29"/>
      <c r="B408" s="98" t="str">
        <f t="shared" si="6"/>
        <v/>
      </c>
      <c r="C408" s="29"/>
      <c r="D408" s="29"/>
      <c r="E408" s="29"/>
      <c r="F408" s="29"/>
      <c r="G408" s="29"/>
      <c r="H408" s="29"/>
      <c r="I408" s="29"/>
      <c r="J408" s="98" t="str" cm="1">
        <f t="array" ref="J408">IF(ISBLANK($C408),"",SUMPRODUCT(--(LEFT(D408:I408, 1) = "*"))*50)</f>
        <v/>
      </c>
    </row>
    <row r="409" spans="1:10" ht="27" customHeight="1">
      <c r="A409" s="29"/>
      <c r="B409" s="98" t="str">
        <f t="shared" si="6"/>
        <v/>
      </c>
      <c r="C409" s="29"/>
      <c r="D409" s="29"/>
      <c r="E409" s="29"/>
      <c r="F409" s="29"/>
      <c r="G409" s="29"/>
      <c r="H409" s="29"/>
      <c r="I409" s="29"/>
      <c r="J409" s="98" t="str" cm="1">
        <f t="array" ref="J409">IF(ISBLANK($C409),"",SUMPRODUCT(--(LEFT(D409:I409, 1) = "*"))*50)</f>
        <v/>
      </c>
    </row>
    <row r="410" spans="1:10" ht="27" customHeight="1">
      <c r="A410" s="29"/>
      <c r="B410" s="98" t="str">
        <f t="shared" si="6"/>
        <v/>
      </c>
      <c r="C410" s="29"/>
      <c r="D410" s="29"/>
      <c r="E410" s="29"/>
      <c r="F410" s="29"/>
      <c r="G410" s="29"/>
      <c r="H410" s="29"/>
      <c r="I410" s="29"/>
      <c r="J410" s="98" t="str" cm="1">
        <f t="array" ref="J410">IF(ISBLANK($C410),"",SUMPRODUCT(--(LEFT(D410:I410, 1) = "*"))*50)</f>
        <v/>
      </c>
    </row>
    <row r="411" spans="1:10" ht="27" customHeight="1">
      <c r="A411" s="29"/>
      <c r="B411" s="98" t="str">
        <f t="shared" si="6"/>
        <v/>
      </c>
      <c r="C411" s="29"/>
      <c r="D411" s="29"/>
      <c r="E411" s="29"/>
      <c r="F411" s="29"/>
      <c r="G411" s="29"/>
      <c r="H411" s="29"/>
      <c r="I411" s="29"/>
      <c r="J411" s="98" t="str" cm="1">
        <f t="array" ref="J411">IF(ISBLANK($C411),"",SUMPRODUCT(--(LEFT(D411:I411, 1) = "*"))*50)</f>
        <v/>
      </c>
    </row>
    <row r="412" spans="1:10" ht="27" customHeight="1">
      <c r="A412" s="29"/>
      <c r="B412" s="98" t="str">
        <f t="shared" si="6"/>
        <v/>
      </c>
      <c r="C412" s="29"/>
      <c r="D412" s="29"/>
      <c r="E412" s="29"/>
      <c r="F412" s="29"/>
      <c r="G412" s="29"/>
      <c r="H412" s="29"/>
      <c r="I412" s="29"/>
      <c r="J412" s="98" t="str" cm="1">
        <f t="array" ref="J412">IF(ISBLANK($C412),"",SUMPRODUCT(--(LEFT(D412:I412, 1) = "*"))*50)</f>
        <v/>
      </c>
    </row>
    <row r="413" spans="1:10" ht="27" customHeight="1">
      <c r="A413" s="29"/>
      <c r="B413" s="98" t="str">
        <f t="shared" si="6"/>
        <v/>
      </c>
      <c r="C413" s="29"/>
      <c r="D413" s="29"/>
      <c r="E413" s="29"/>
      <c r="F413" s="29"/>
      <c r="G413" s="29"/>
      <c r="H413" s="29"/>
      <c r="I413" s="29"/>
      <c r="J413" s="98" t="str" cm="1">
        <f t="array" ref="J413">IF(ISBLANK($C413),"",SUMPRODUCT(--(LEFT(D413:I413, 1) = "*"))*50)</f>
        <v/>
      </c>
    </row>
    <row r="414" spans="1:10" ht="27" customHeight="1">
      <c r="A414" s="29"/>
      <c r="B414" s="98" t="str">
        <f t="shared" si="6"/>
        <v/>
      </c>
      <c r="C414" s="29"/>
      <c r="D414" s="29"/>
      <c r="E414" s="29"/>
      <c r="F414" s="29"/>
      <c r="G414" s="29"/>
      <c r="H414" s="29"/>
      <c r="I414" s="29"/>
      <c r="J414" s="98" t="str" cm="1">
        <f t="array" ref="J414">IF(ISBLANK($C414),"",SUMPRODUCT(--(LEFT(D414:I414, 1) = "*"))*50)</f>
        <v/>
      </c>
    </row>
    <row r="415" spans="1:10" ht="27" customHeight="1">
      <c r="A415" s="29"/>
      <c r="B415" s="98" t="str">
        <f t="shared" si="6"/>
        <v/>
      </c>
      <c r="C415" s="29"/>
      <c r="D415" s="29"/>
      <c r="E415" s="29"/>
      <c r="F415" s="29"/>
      <c r="G415" s="29"/>
      <c r="H415" s="29"/>
      <c r="I415" s="29"/>
      <c r="J415" s="98" t="str" cm="1">
        <f t="array" ref="J415">IF(ISBLANK($C415),"",SUMPRODUCT(--(LEFT(D415:I415, 1) = "*"))*50)</f>
        <v/>
      </c>
    </row>
    <row r="416" spans="1:10" ht="27" customHeight="1">
      <c r="A416" s="29"/>
      <c r="B416" s="98" t="str">
        <f t="shared" si="6"/>
        <v/>
      </c>
      <c r="C416" s="29"/>
      <c r="D416" s="29"/>
      <c r="E416" s="29"/>
      <c r="F416" s="29"/>
      <c r="G416" s="29"/>
      <c r="H416" s="29"/>
      <c r="I416" s="29"/>
      <c r="J416" s="98" t="str" cm="1">
        <f t="array" ref="J416">IF(ISBLANK($C416),"",SUMPRODUCT(--(LEFT(D416:I416, 1) = "*"))*50)</f>
        <v/>
      </c>
    </row>
    <row r="417" spans="1:10" ht="27" customHeight="1">
      <c r="A417" s="29"/>
      <c r="B417" s="98" t="str">
        <f t="shared" si="6"/>
        <v/>
      </c>
      <c r="C417" s="29"/>
      <c r="D417" s="29"/>
      <c r="E417" s="29"/>
      <c r="F417" s="29"/>
      <c r="G417" s="29"/>
      <c r="H417" s="29"/>
      <c r="I417" s="29"/>
      <c r="J417" s="98" t="str" cm="1">
        <f t="array" ref="J417">IF(ISBLANK($C417),"",SUMPRODUCT(--(LEFT(D417:I417, 1) = "*"))*50)</f>
        <v/>
      </c>
    </row>
    <row r="418" spans="1:10" ht="27" customHeight="1">
      <c r="A418" s="29"/>
      <c r="B418" s="98" t="str">
        <f t="shared" si="6"/>
        <v/>
      </c>
      <c r="C418" s="29"/>
      <c r="D418" s="29"/>
      <c r="E418" s="29"/>
      <c r="F418" s="29"/>
      <c r="G418" s="29"/>
      <c r="H418" s="29"/>
      <c r="I418" s="29"/>
      <c r="J418" s="98" t="str" cm="1">
        <f t="array" ref="J418">IF(ISBLANK($C418),"",SUMPRODUCT(--(LEFT(D418:I418, 1) = "*"))*50)</f>
        <v/>
      </c>
    </row>
    <row r="419" spans="1:10" ht="27" customHeight="1">
      <c r="A419" s="29"/>
      <c r="B419" s="98" t="str">
        <f t="shared" si="6"/>
        <v/>
      </c>
      <c r="C419" s="29"/>
      <c r="D419" s="29"/>
      <c r="E419" s="29"/>
      <c r="F419" s="29"/>
      <c r="G419" s="29"/>
      <c r="H419" s="29"/>
      <c r="I419" s="29"/>
      <c r="J419" s="98" t="str" cm="1">
        <f t="array" ref="J419">IF(ISBLANK($C419),"",SUMPRODUCT(--(LEFT(D419:I419, 1) = "*"))*50)</f>
        <v/>
      </c>
    </row>
    <row r="420" spans="1:10" ht="27" customHeight="1">
      <c r="A420" s="29"/>
      <c r="B420" s="98" t="str">
        <f t="shared" si="6"/>
        <v/>
      </c>
      <c r="C420" s="29"/>
      <c r="D420" s="29"/>
      <c r="E420" s="29"/>
      <c r="F420" s="29"/>
      <c r="G420" s="29"/>
      <c r="H420" s="29"/>
      <c r="I420" s="29"/>
      <c r="J420" s="98" t="str" cm="1">
        <f t="array" ref="J420">IF(ISBLANK($C420),"",SUMPRODUCT(--(LEFT(D420:I420, 1) = "*"))*50)</f>
        <v/>
      </c>
    </row>
    <row r="421" spans="1:10" ht="27" customHeight="1">
      <c r="A421" s="29"/>
      <c r="B421" s="98" t="str">
        <f t="shared" si="6"/>
        <v/>
      </c>
      <c r="C421" s="29"/>
      <c r="D421" s="29"/>
      <c r="E421" s="29"/>
      <c r="F421" s="29"/>
      <c r="G421" s="29"/>
      <c r="H421" s="29"/>
      <c r="I421" s="29"/>
      <c r="J421" s="98" t="str" cm="1">
        <f t="array" ref="J421">IF(ISBLANK($C421),"",SUMPRODUCT(--(LEFT(D421:I421, 1) = "*"))*50)</f>
        <v/>
      </c>
    </row>
    <row r="422" spans="1:10" ht="27" customHeight="1">
      <c r="A422" s="29"/>
      <c r="B422" s="98" t="str">
        <f t="shared" si="6"/>
        <v/>
      </c>
      <c r="C422" s="29"/>
      <c r="D422" s="29"/>
      <c r="E422" s="29"/>
      <c r="F422" s="29"/>
      <c r="G422" s="29"/>
      <c r="H422" s="29"/>
      <c r="I422" s="29"/>
      <c r="J422" s="98" t="str" cm="1">
        <f t="array" ref="J422">IF(ISBLANK($C422),"",SUMPRODUCT(--(LEFT(D422:I422, 1) = "*"))*50)</f>
        <v/>
      </c>
    </row>
    <row r="423" spans="1:10" ht="27" customHeight="1">
      <c r="A423" s="29"/>
      <c r="B423" s="98" t="str">
        <f t="shared" si="6"/>
        <v/>
      </c>
      <c r="C423" s="29"/>
      <c r="D423" s="29"/>
      <c r="E423" s="29"/>
      <c r="F423" s="29"/>
      <c r="G423" s="29"/>
      <c r="H423" s="29"/>
      <c r="I423" s="29"/>
      <c r="J423" s="98" t="str" cm="1">
        <f t="array" ref="J423">IF(ISBLANK($C423),"",SUMPRODUCT(--(LEFT(D423:I423, 1) = "*"))*50)</f>
        <v/>
      </c>
    </row>
    <row r="424" spans="1:10" ht="27" customHeight="1">
      <c r="A424" s="29"/>
      <c r="B424" s="98" t="str">
        <f t="shared" si="6"/>
        <v/>
      </c>
      <c r="C424" s="29"/>
      <c r="D424" s="29"/>
      <c r="E424" s="29"/>
      <c r="F424" s="29"/>
      <c r="G424" s="29"/>
      <c r="H424" s="29"/>
      <c r="I424" s="29"/>
      <c r="J424" s="98" t="str" cm="1">
        <f t="array" ref="J424">IF(ISBLANK($C424),"",SUMPRODUCT(--(LEFT(D424:I424, 1) = "*"))*50)</f>
        <v/>
      </c>
    </row>
    <row r="425" spans="1:10" ht="27" customHeight="1">
      <c r="A425" s="29"/>
      <c r="B425" s="98" t="str">
        <f t="shared" si="6"/>
        <v/>
      </c>
      <c r="C425" s="29"/>
      <c r="D425" s="29"/>
      <c r="E425" s="29"/>
      <c r="F425" s="29"/>
      <c r="G425" s="29"/>
      <c r="H425" s="29"/>
      <c r="I425" s="29"/>
      <c r="J425" s="98" t="str" cm="1">
        <f t="array" ref="J425">IF(ISBLANK($C425),"",SUMPRODUCT(--(LEFT(D425:I425, 1) = "*"))*50)</f>
        <v/>
      </c>
    </row>
    <row r="426" spans="1:10" ht="27" customHeight="1">
      <c r="A426" s="29"/>
      <c r="B426" s="98" t="str">
        <f t="shared" si="6"/>
        <v/>
      </c>
      <c r="C426" s="29"/>
      <c r="D426" s="29"/>
      <c r="E426" s="29"/>
      <c r="F426" s="29"/>
      <c r="G426" s="29"/>
      <c r="H426" s="29"/>
      <c r="I426" s="29"/>
      <c r="J426" s="98" t="str" cm="1">
        <f t="array" ref="J426">IF(ISBLANK($C426),"",SUMPRODUCT(--(LEFT(D426:I426, 1) = "*"))*50)</f>
        <v/>
      </c>
    </row>
    <row r="427" spans="1:10" ht="27" customHeight="1">
      <c r="A427" s="29"/>
      <c r="B427" s="98" t="str">
        <f t="shared" si="6"/>
        <v/>
      </c>
      <c r="C427" s="29"/>
      <c r="D427" s="29"/>
      <c r="E427" s="29"/>
      <c r="F427" s="29"/>
      <c r="G427" s="29"/>
      <c r="H427" s="29"/>
      <c r="I427" s="29"/>
      <c r="J427" s="98" t="str" cm="1">
        <f t="array" ref="J427">IF(ISBLANK($C427),"",SUMPRODUCT(--(LEFT(D427:I427, 1) = "*"))*50)</f>
        <v/>
      </c>
    </row>
    <row r="428" spans="1:10" ht="27" customHeight="1">
      <c r="A428" s="29"/>
      <c r="B428" s="98" t="str">
        <f t="shared" si="6"/>
        <v/>
      </c>
      <c r="C428" s="29"/>
      <c r="D428" s="29"/>
      <c r="E428" s="29"/>
      <c r="F428" s="29"/>
      <c r="G428" s="29"/>
      <c r="H428" s="29"/>
      <c r="I428" s="29"/>
      <c r="J428" s="98" t="str" cm="1">
        <f t="array" ref="J428">IF(ISBLANK($C428),"",SUMPRODUCT(--(LEFT(D428:I428, 1) = "*"))*50)</f>
        <v/>
      </c>
    </row>
    <row r="429" spans="1:10" ht="27" customHeight="1">
      <c r="A429" s="29"/>
      <c r="B429" s="98" t="str">
        <f t="shared" si="6"/>
        <v/>
      </c>
      <c r="C429" s="29"/>
      <c r="D429" s="29"/>
      <c r="E429" s="29"/>
      <c r="F429" s="29"/>
      <c r="G429" s="29"/>
      <c r="H429" s="29"/>
      <c r="I429" s="29"/>
      <c r="J429" s="98" t="str" cm="1">
        <f t="array" ref="J429">IF(ISBLANK($C429),"",SUMPRODUCT(--(LEFT(D429:I429, 1) = "*"))*50)</f>
        <v/>
      </c>
    </row>
    <row r="430" spans="1:10" ht="27" customHeight="1">
      <c r="A430" s="29"/>
      <c r="B430" s="98" t="str">
        <f t="shared" si="6"/>
        <v/>
      </c>
      <c r="C430" s="29"/>
      <c r="D430" s="29"/>
      <c r="E430" s="29"/>
      <c r="F430" s="29"/>
      <c r="G430" s="29"/>
      <c r="H430" s="29"/>
      <c r="I430" s="29"/>
      <c r="J430" s="98" t="str" cm="1">
        <f t="array" ref="J430">IF(ISBLANK($C430),"",SUMPRODUCT(--(LEFT(D430:I430, 1) = "*"))*50)</f>
        <v/>
      </c>
    </row>
    <row r="431" spans="1:10" ht="27" customHeight="1">
      <c r="A431" s="29"/>
      <c r="B431" s="98" t="str">
        <f t="shared" si="6"/>
        <v/>
      </c>
      <c r="C431" s="29"/>
      <c r="D431" s="29"/>
      <c r="E431" s="29"/>
      <c r="F431" s="29"/>
      <c r="G431" s="29"/>
      <c r="H431" s="29"/>
      <c r="I431" s="29"/>
      <c r="J431" s="98" t="str" cm="1">
        <f t="array" ref="J431">IF(ISBLANK($C431),"",SUMPRODUCT(--(LEFT(D431:I431, 1) = "*"))*50)</f>
        <v/>
      </c>
    </row>
    <row r="432" spans="1:10" ht="27" customHeight="1">
      <c r="A432" s="29"/>
      <c r="B432" s="98" t="str">
        <f t="shared" si="6"/>
        <v/>
      </c>
      <c r="C432" s="29"/>
      <c r="D432" s="29"/>
      <c r="E432" s="29"/>
      <c r="F432" s="29"/>
      <c r="G432" s="29"/>
      <c r="H432" s="29"/>
      <c r="I432" s="29"/>
      <c r="J432" s="98" t="str" cm="1">
        <f t="array" ref="J432">IF(ISBLANK($C432),"",SUMPRODUCT(--(LEFT(D432:I432, 1) = "*"))*50)</f>
        <v/>
      </c>
    </row>
    <row r="433" spans="1:10" ht="27" customHeight="1">
      <c r="A433" s="29"/>
      <c r="B433" s="98" t="str">
        <f t="shared" si="6"/>
        <v/>
      </c>
      <c r="C433" s="29"/>
      <c r="D433" s="29"/>
      <c r="E433" s="29"/>
      <c r="F433" s="29"/>
      <c r="G433" s="29"/>
      <c r="H433" s="29"/>
      <c r="I433" s="29"/>
      <c r="J433" s="98" t="str" cm="1">
        <f t="array" ref="J433">IF(ISBLANK($C433),"",SUMPRODUCT(--(LEFT(D433:I433, 1) = "*"))*50)</f>
        <v/>
      </c>
    </row>
    <row r="434" spans="1:10" ht="27" customHeight="1">
      <c r="A434" s="29"/>
      <c r="B434" s="98" t="str">
        <f t="shared" si="6"/>
        <v/>
      </c>
      <c r="C434" s="29"/>
      <c r="D434" s="29"/>
      <c r="E434" s="29"/>
      <c r="F434" s="29"/>
      <c r="G434" s="29"/>
      <c r="H434" s="29"/>
      <c r="I434" s="29"/>
      <c r="J434" s="98" t="str" cm="1">
        <f t="array" ref="J434">IF(ISBLANK($C434),"",SUMPRODUCT(--(LEFT(D434:I434, 1) = "*"))*50)</f>
        <v/>
      </c>
    </row>
    <row r="435" spans="1:10" ht="27" customHeight="1">
      <c r="A435" s="29"/>
      <c r="B435" s="98" t="str">
        <f t="shared" si="6"/>
        <v/>
      </c>
      <c r="C435" s="29"/>
      <c r="D435" s="29"/>
      <c r="E435" s="29"/>
      <c r="F435" s="29"/>
      <c r="G435" s="29"/>
      <c r="H435" s="29"/>
      <c r="I435" s="29"/>
      <c r="J435" s="98" t="str" cm="1">
        <f t="array" ref="J435">IF(ISBLANK($C435),"",SUMPRODUCT(--(LEFT(D435:I435, 1) = "*"))*50)</f>
        <v/>
      </c>
    </row>
    <row r="436" spans="1:10" ht="27" customHeight="1">
      <c r="A436" s="29"/>
      <c r="B436" s="98" t="str">
        <f t="shared" si="6"/>
        <v/>
      </c>
      <c r="C436" s="29"/>
      <c r="D436" s="29"/>
      <c r="E436" s="29"/>
      <c r="F436" s="29"/>
      <c r="G436" s="29"/>
      <c r="H436" s="29"/>
      <c r="I436" s="29"/>
      <c r="J436" s="98" t="str" cm="1">
        <f t="array" ref="J436">IF(ISBLANK($C436),"",SUMPRODUCT(--(LEFT(D436:I436, 1) = "*"))*50)</f>
        <v/>
      </c>
    </row>
    <row r="437" spans="1:10" ht="27" customHeight="1">
      <c r="A437" s="29"/>
      <c r="B437" s="98" t="str">
        <f t="shared" si="6"/>
        <v/>
      </c>
      <c r="C437" s="29"/>
      <c r="D437" s="29"/>
      <c r="E437" s="29"/>
      <c r="F437" s="29"/>
      <c r="G437" s="29"/>
      <c r="H437" s="29"/>
      <c r="I437" s="29"/>
      <c r="J437" s="98" t="str" cm="1">
        <f t="array" ref="J437">IF(ISBLANK($C437),"",SUMPRODUCT(--(LEFT(D437:I437, 1) = "*"))*50)</f>
        <v/>
      </c>
    </row>
    <row r="438" spans="1:10" ht="27" customHeight="1">
      <c r="A438" s="29"/>
      <c r="B438" s="98" t="str">
        <f t="shared" si="6"/>
        <v/>
      </c>
      <c r="C438" s="29"/>
      <c r="D438" s="29"/>
      <c r="E438" s="29"/>
      <c r="F438" s="29"/>
      <c r="G438" s="29"/>
      <c r="H438" s="29"/>
      <c r="I438" s="29"/>
      <c r="J438" s="98" t="str" cm="1">
        <f t="array" ref="J438">IF(ISBLANK($C438),"",SUMPRODUCT(--(LEFT(D438:I438, 1) = "*"))*50)</f>
        <v/>
      </c>
    </row>
    <row r="439" spans="1:10" ht="27" customHeight="1">
      <c r="A439" s="29"/>
      <c r="B439" s="98" t="str">
        <f t="shared" si="6"/>
        <v/>
      </c>
      <c r="C439" s="29"/>
      <c r="D439" s="29"/>
      <c r="E439" s="29"/>
      <c r="F439" s="29"/>
      <c r="G439" s="29"/>
      <c r="H439" s="29"/>
      <c r="I439" s="29"/>
      <c r="J439" s="98" t="str" cm="1">
        <f t="array" ref="J439">IF(ISBLANK($C439),"",SUMPRODUCT(--(LEFT(D439:I439, 1) = "*"))*50)</f>
        <v/>
      </c>
    </row>
    <row r="440" spans="1:10" ht="27" customHeight="1">
      <c r="A440" s="29"/>
      <c r="B440" s="98" t="str">
        <f t="shared" si="6"/>
        <v/>
      </c>
      <c r="C440" s="29"/>
      <c r="D440" s="29"/>
      <c r="E440" s="29"/>
      <c r="F440" s="29"/>
      <c r="G440" s="29"/>
      <c r="H440" s="29"/>
      <c r="I440" s="29"/>
      <c r="J440" s="98" t="str" cm="1">
        <f t="array" ref="J440">IF(ISBLANK($C440),"",SUMPRODUCT(--(LEFT(D440:I440, 1) = "*"))*50)</f>
        <v/>
      </c>
    </row>
    <row r="441" spans="1:10" ht="27" customHeight="1">
      <c r="A441" s="29"/>
      <c r="B441" s="98" t="str">
        <f t="shared" si="6"/>
        <v/>
      </c>
      <c r="C441" s="29"/>
      <c r="D441" s="29"/>
      <c r="E441" s="29"/>
      <c r="F441" s="29"/>
      <c r="G441" s="29"/>
      <c r="H441" s="29"/>
      <c r="I441" s="29"/>
      <c r="J441" s="98" t="str" cm="1">
        <f t="array" ref="J441">IF(ISBLANK($C441),"",SUMPRODUCT(--(LEFT(D441:I441, 1) = "*"))*50)</f>
        <v/>
      </c>
    </row>
    <row r="442" spans="1:10" ht="27" customHeight="1">
      <c r="A442" s="29"/>
      <c r="B442" s="98" t="str">
        <f t="shared" si="6"/>
        <v/>
      </c>
      <c r="C442" s="29"/>
      <c r="D442" s="29"/>
      <c r="E442" s="29"/>
      <c r="F442" s="29"/>
      <c r="G442" s="29"/>
      <c r="H442" s="29"/>
      <c r="I442" s="29"/>
      <c r="J442" s="98" t="str" cm="1">
        <f t="array" ref="J442">IF(ISBLANK($C442),"",SUMPRODUCT(--(LEFT(D442:I442, 1) = "*"))*50)</f>
        <v/>
      </c>
    </row>
    <row r="443" spans="1:10" ht="27" customHeight="1">
      <c r="A443" s="29"/>
      <c r="B443" s="98" t="str">
        <f t="shared" si="6"/>
        <v/>
      </c>
      <c r="C443" s="29"/>
      <c r="D443" s="29"/>
      <c r="E443" s="29"/>
      <c r="F443" s="29"/>
      <c r="G443" s="29"/>
      <c r="H443" s="29"/>
      <c r="I443" s="29"/>
      <c r="J443" s="98" t="str" cm="1">
        <f t="array" ref="J443">IF(ISBLANK($C443),"",SUMPRODUCT(--(LEFT(D443:I443, 1) = "*"))*50)</f>
        <v/>
      </c>
    </row>
    <row r="444" spans="1:10" ht="27" customHeight="1">
      <c r="A444" s="29"/>
      <c r="B444" s="98" t="str">
        <f t="shared" si="6"/>
        <v/>
      </c>
      <c r="C444" s="29"/>
      <c r="D444" s="29"/>
      <c r="E444" s="29"/>
      <c r="F444" s="29"/>
      <c r="G444" s="29"/>
      <c r="H444" s="29"/>
      <c r="I444" s="29"/>
      <c r="J444" s="98" t="str" cm="1">
        <f t="array" ref="J444">IF(ISBLANK($C444),"",SUMPRODUCT(--(LEFT(D444:I444, 1) = "*"))*50)</f>
        <v/>
      </c>
    </row>
    <row r="445" spans="1:10" ht="27" customHeight="1">
      <c r="A445" s="29"/>
      <c r="B445" s="98" t="str">
        <f t="shared" si="6"/>
        <v/>
      </c>
      <c r="C445" s="29"/>
      <c r="D445" s="29"/>
      <c r="E445" s="29"/>
      <c r="F445" s="29"/>
      <c r="G445" s="29"/>
      <c r="H445" s="29"/>
      <c r="I445" s="29"/>
      <c r="J445" s="98" t="str" cm="1">
        <f t="array" ref="J445">IF(ISBLANK($C445),"",SUMPRODUCT(--(LEFT(D445:I445, 1) = "*"))*50)</f>
        <v/>
      </c>
    </row>
    <row r="446" spans="1:10" ht="27" customHeight="1">
      <c r="A446" s="29"/>
      <c r="B446" s="98" t="str">
        <f t="shared" si="6"/>
        <v/>
      </c>
      <c r="C446" s="29"/>
      <c r="D446" s="29"/>
      <c r="E446" s="29"/>
      <c r="F446" s="29"/>
      <c r="G446" s="29"/>
      <c r="H446" s="29"/>
      <c r="I446" s="29"/>
      <c r="J446" s="98" t="str" cm="1">
        <f t="array" ref="J446">IF(ISBLANK($C446),"",SUMPRODUCT(--(LEFT(D446:I446, 1) = "*"))*50)</f>
        <v/>
      </c>
    </row>
    <row r="447" spans="1:10" ht="27" customHeight="1">
      <c r="A447" s="29"/>
      <c r="B447" s="98" t="str">
        <f t="shared" si="6"/>
        <v/>
      </c>
      <c r="C447" s="29"/>
      <c r="D447" s="29"/>
      <c r="E447" s="29"/>
      <c r="F447" s="29"/>
      <c r="G447" s="29"/>
      <c r="H447" s="29"/>
      <c r="I447" s="29"/>
      <c r="J447" s="98" t="str" cm="1">
        <f t="array" ref="J447">IF(ISBLANK($C447),"",SUMPRODUCT(--(LEFT(D447:I447, 1) = "*"))*50)</f>
        <v/>
      </c>
    </row>
    <row r="448" spans="1:10" ht="27" customHeight="1">
      <c r="A448" s="29"/>
      <c r="B448" s="98" t="str">
        <f t="shared" si="6"/>
        <v/>
      </c>
      <c r="C448" s="29"/>
      <c r="D448" s="29"/>
      <c r="E448" s="29"/>
      <c r="F448" s="29"/>
      <c r="G448" s="29"/>
      <c r="H448" s="29"/>
      <c r="I448" s="29"/>
      <c r="J448" s="98" t="str" cm="1">
        <f t="array" ref="J448">IF(ISBLANK($C448),"",SUMPRODUCT(--(LEFT(D448:I448, 1) = "*"))*50)</f>
        <v/>
      </c>
    </row>
    <row r="449" spans="1:10" ht="27" customHeight="1">
      <c r="A449" s="29"/>
      <c r="B449" s="98" t="str">
        <f t="shared" si="6"/>
        <v/>
      </c>
      <c r="C449" s="29"/>
      <c r="D449" s="29"/>
      <c r="E449" s="29"/>
      <c r="F449" s="29"/>
      <c r="G449" s="29"/>
      <c r="H449" s="29"/>
      <c r="I449" s="29"/>
      <c r="J449" s="98" t="str" cm="1">
        <f t="array" ref="J449">IF(ISBLANK($C449),"",SUMPRODUCT(--(LEFT(D449:I449, 1) = "*"))*50)</f>
        <v/>
      </c>
    </row>
    <row r="450" spans="1:10" ht="27" customHeight="1">
      <c r="A450" s="29"/>
      <c r="B450" s="98" t="str">
        <f t="shared" si="6"/>
        <v/>
      </c>
      <c r="C450" s="29"/>
      <c r="D450" s="29"/>
      <c r="E450" s="29"/>
      <c r="F450" s="29"/>
      <c r="G450" s="29"/>
      <c r="H450" s="29"/>
      <c r="I450" s="29"/>
      <c r="J450" s="98" t="str" cm="1">
        <f t="array" ref="J450">IF(ISBLANK($C450),"",SUMPRODUCT(--(LEFT(D450:I450, 1) = "*"))*50)</f>
        <v/>
      </c>
    </row>
    <row r="451" spans="1:10" ht="27" customHeight="1">
      <c r="A451" s="29"/>
      <c r="B451" s="98" t="str">
        <f t="shared" ref="B451:B514" si="7">IF(ISBLANK($C451),"","MCQ")</f>
        <v/>
      </c>
      <c r="C451" s="29"/>
      <c r="D451" s="29"/>
      <c r="E451" s="29"/>
      <c r="F451" s="29"/>
      <c r="G451" s="29"/>
      <c r="H451" s="29"/>
      <c r="I451" s="29"/>
      <c r="J451" s="98" t="str" cm="1">
        <f t="array" ref="J451">IF(ISBLANK($C451),"",SUMPRODUCT(--(LEFT(D451:I451, 1) = "*"))*50)</f>
        <v/>
      </c>
    </row>
    <row r="452" spans="1:10" ht="27" customHeight="1">
      <c r="A452" s="29"/>
      <c r="B452" s="98" t="str">
        <f t="shared" si="7"/>
        <v/>
      </c>
      <c r="C452" s="29"/>
      <c r="D452" s="29"/>
      <c r="E452" s="29"/>
      <c r="F452" s="29"/>
      <c r="G452" s="29"/>
      <c r="H452" s="29"/>
      <c r="I452" s="29"/>
      <c r="J452" s="98" t="str" cm="1">
        <f t="array" ref="J452">IF(ISBLANK($C452),"",SUMPRODUCT(--(LEFT(D452:I452, 1) = "*"))*50)</f>
        <v/>
      </c>
    </row>
    <row r="453" spans="1:10" ht="27" customHeight="1">
      <c r="A453" s="29"/>
      <c r="B453" s="98" t="str">
        <f t="shared" si="7"/>
        <v/>
      </c>
      <c r="C453" s="29"/>
      <c r="D453" s="29"/>
      <c r="E453" s="29"/>
      <c r="F453" s="29"/>
      <c r="G453" s="29"/>
      <c r="H453" s="29"/>
      <c r="I453" s="29"/>
      <c r="J453" s="98" t="str" cm="1">
        <f t="array" ref="J453">IF(ISBLANK($C453),"",SUMPRODUCT(--(LEFT(D453:I453, 1) = "*"))*50)</f>
        <v/>
      </c>
    </row>
    <row r="454" spans="1:10" ht="27" customHeight="1">
      <c r="A454" s="29"/>
      <c r="B454" s="98" t="str">
        <f t="shared" si="7"/>
        <v/>
      </c>
      <c r="C454" s="29"/>
      <c r="D454" s="29"/>
      <c r="E454" s="29"/>
      <c r="F454" s="29"/>
      <c r="G454" s="29"/>
      <c r="H454" s="29"/>
      <c r="I454" s="29"/>
      <c r="J454" s="98" t="str" cm="1">
        <f t="array" ref="J454">IF(ISBLANK($C454),"",SUMPRODUCT(--(LEFT(D454:I454, 1) = "*"))*50)</f>
        <v/>
      </c>
    </row>
    <row r="455" spans="1:10" ht="27" customHeight="1">
      <c r="A455" s="29"/>
      <c r="B455" s="98" t="str">
        <f t="shared" si="7"/>
        <v/>
      </c>
      <c r="C455" s="29"/>
      <c r="D455" s="29"/>
      <c r="E455" s="29"/>
      <c r="F455" s="29"/>
      <c r="G455" s="29"/>
      <c r="H455" s="29"/>
      <c r="I455" s="29"/>
      <c r="J455" s="98" t="str" cm="1">
        <f t="array" ref="J455">IF(ISBLANK($C455),"",SUMPRODUCT(--(LEFT(D455:I455, 1) = "*"))*50)</f>
        <v/>
      </c>
    </row>
    <row r="456" spans="1:10" ht="27" customHeight="1">
      <c r="A456" s="29"/>
      <c r="B456" s="98" t="str">
        <f t="shared" si="7"/>
        <v/>
      </c>
      <c r="C456" s="29"/>
      <c r="D456" s="29"/>
      <c r="E456" s="29"/>
      <c r="F456" s="29"/>
      <c r="G456" s="29"/>
      <c r="H456" s="29"/>
      <c r="I456" s="29"/>
      <c r="J456" s="98" t="str" cm="1">
        <f t="array" ref="J456">IF(ISBLANK($C456),"",SUMPRODUCT(--(LEFT(D456:I456, 1) = "*"))*50)</f>
        <v/>
      </c>
    </row>
    <row r="457" spans="1:10" ht="27" customHeight="1">
      <c r="A457" s="29"/>
      <c r="B457" s="98" t="str">
        <f t="shared" si="7"/>
        <v/>
      </c>
      <c r="C457" s="29"/>
      <c r="D457" s="29"/>
      <c r="E457" s="29"/>
      <c r="F457" s="29"/>
      <c r="G457" s="29"/>
      <c r="H457" s="29"/>
      <c r="I457" s="29"/>
      <c r="J457" s="98" t="str" cm="1">
        <f t="array" ref="J457">IF(ISBLANK($C457),"",SUMPRODUCT(--(LEFT(D457:I457, 1) = "*"))*50)</f>
        <v/>
      </c>
    </row>
    <row r="458" spans="1:10" ht="27" customHeight="1">
      <c r="A458" s="29"/>
      <c r="B458" s="98" t="str">
        <f t="shared" si="7"/>
        <v/>
      </c>
      <c r="C458" s="29"/>
      <c r="D458" s="29"/>
      <c r="E458" s="29"/>
      <c r="F458" s="29"/>
      <c r="G458" s="29"/>
      <c r="H458" s="29"/>
      <c r="I458" s="29"/>
      <c r="J458" s="98" t="str" cm="1">
        <f t="array" ref="J458">IF(ISBLANK($C458),"",SUMPRODUCT(--(LEFT(D458:I458, 1) = "*"))*50)</f>
        <v/>
      </c>
    </row>
    <row r="459" spans="1:10" ht="27" customHeight="1">
      <c r="A459" s="29"/>
      <c r="B459" s="98" t="str">
        <f t="shared" si="7"/>
        <v/>
      </c>
      <c r="C459" s="29"/>
      <c r="D459" s="29"/>
      <c r="E459" s="29"/>
      <c r="F459" s="29"/>
      <c r="G459" s="29"/>
      <c r="H459" s="29"/>
      <c r="I459" s="29"/>
      <c r="J459" s="98" t="str" cm="1">
        <f t="array" ref="J459">IF(ISBLANK($C459),"",SUMPRODUCT(--(LEFT(D459:I459, 1) = "*"))*50)</f>
        <v/>
      </c>
    </row>
    <row r="460" spans="1:10" ht="27" customHeight="1">
      <c r="A460" s="29"/>
      <c r="B460" s="98" t="str">
        <f t="shared" si="7"/>
        <v/>
      </c>
      <c r="C460" s="29"/>
      <c r="D460" s="29"/>
      <c r="E460" s="29"/>
      <c r="F460" s="29"/>
      <c r="G460" s="29"/>
      <c r="H460" s="29"/>
      <c r="I460" s="29"/>
      <c r="J460" s="98" t="str" cm="1">
        <f t="array" ref="J460">IF(ISBLANK($C460),"",SUMPRODUCT(--(LEFT(D460:I460, 1) = "*"))*50)</f>
        <v/>
      </c>
    </row>
    <row r="461" spans="1:10" ht="27" customHeight="1">
      <c r="A461" s="29"/>
      <c r="B461" s="98" t="str">
        <f t="shared" si="7"/>
        <v/>
      </c>
      <c r="C461" s="29"/>
      <c r="D461" s="29"/>
      <c r="E461" s="29"/>
      <c r="F461" s="29"/>
      <c r="G461" s="29"/>
      <c r="H461" s="29"/>
      <c r="I461" s="29"/>
      <c r="J461" s="98" t="str" cm="1">
        <f t="array" ref="J461">IF(ISBLANK($C461),"",SUMPRODUCT(--(LEFT(D461:I461, 1) = "*"))*50)</f>
        <v/>
      </c>
    </row>
    <row r="462" spans="1:10" ht="27" customHeight="1">
      <c r="A462" s="29"/>
      <c r="B462" s="98" t="str">
        <f t="shared" si="7"/>
        <v/>
      </c>
      <c r="C462" s="29"/>
      <c r="D462" s="29"/>
      <c r="E462" s="29"/>
      <c r="F462" s="29"/>
      <c r="G462" s="29"/>
      <c r="H462" s="29"/>
      <c r="I462" s="29"/>
      <c r="J462" s="98" t="str" cm="1">
        <f t="array" ref="J462">IF(ISBLANK($C462),"",SUMPRODUCT(--(LEFT(D462:I462, 1) = "*"))*50)</f>
        <v/>
      </c>
    </row>
    <row r="463" spans="1:10" ht="27" customHeight="1">
      <c r="A463" s="29"/>
      <c r="B463" s="98" t="str">
        <f t="shared" si="7"/>
        <v/>
      </c>
      <c r="C463" s="29"/>
      <c r="D463" s="29"/>
      <c r="E463" s="29"/>
      <c r="F463" s="29"/>
      <c r="G463" s="29"/>
      <c r="H463" s="29"/>
      <c r="I463" s="29"/>
      <c r="J463" s="98" t="str" cm="1">
        <f t="array" ref="J463">IF(ISBLANK($C463),"",SUMPRODUCT(--(LEFT(D463:I463, 1) = "*"))*50)</f>
        <v/>
      </c>
    </row>
    <row r="464" spans="1:10" ht="27" customHeight="1">
      <c r="A464" s="29"/>
      <c r="B464" s="98" t="str">
        <f t="shared" si="7"/>
        <v/>
      </c>
      <c r="C464" s="29"/>
      <c r="D464" s="29"/>
      <c r="E464" s="29"/>
      <c r="F464" s="29"/>
      <c r="G464" s="29"/>
      <c r="H464" s="29"/>
      <c r="I464" s="29"/>
      <c r="J464" s="98" t="str" cm="1">
        <f t="array" ref="J464">IF(ISBLANK($C464),"",SUMPRODUCT(--(LEFT(D464:I464, 1) = "*"))*50)</f>
        <v/>
      </c>
    </row>
    <row r="465" spans="1:10" ht="27" customHeight="1">
      <c r="A465" s="29"/>
      <c r="B465" s="98" t="str">
        <f t="shared" si="7"/>
        <v/>
      </c>
      <c r="C465" s="29"/>
      <c r="D465" s="29"/>
      <c r="E465" s="29"/>
      <c r="F465" s="29"/>
      <c r="G465" s="29"/>
      <c r="H465" s="29"/>
      <c r="I465" s="29"/>
      <c r="J465" s="98" t="str" cm="1">
        <f t="array" ref="J465">IF(ISBLANK($C465),"",SUMPRODUCT(--(LEFT(D465:I465, 1) = "*"))*50)</f>
        <v/>
      </c>
    </row>
    <row r="466" spans="1:10" ht="27" customHeight="1">
      <c r="A466" s="29"/>
      <c r="B466" s="98" t="str">
        <f t="shared" si="7"/>
        <v/>
      </c>
      <c r="C466" s="29"/>
      <c r="D466" s="29"/>
      <c r="E466" s="29"/>
      <c r="F466" s="29"/>
      <c r="G466" s="29"/>
      <c r="H466" s="29"/>
      <c r="I466" s="29"/>
      <c r="J466" s="98" t="str" cm="1">
        <f t="array" ref="J466">IF(ISBLANK($C466),"",SUMPRODUCT(--(LEFT(D466:I466, 1) = "*"))*50)</f>
        <v/>
      </c>
    </row>
    <row r="467" spans="1:10" ht="27" customHeight="1">
      <c r="A467" s="29"/>
      <c r="B467" s="98" t="str">
        <f t="shared" si="7"/>
        <v/>
      </c>
      <c r="C467" s="29"/>
      <c r="D467" s="29"/>
      <c r="E467" s="29"/>
      <c r="F467" s="29"/>
      <c r="G467" s="29"/>
      <c r="H467" s="29"/>
      <c r="I467" s="29"/>
      <c r="J467" s="98" t="str" cm="1">
        <f t="array" ref="J467">IF(ISBLANK($C467),"",SUMPRODUCT(--(LEFT(D467:I467, 1) = "*"))*50)</f>
        <v/>
      </c>
    </row>
    <row r="468" spans="1:10" ht="27" customHeight="1">
      <c r="A468" s="29"/>
      <c r="B468" s="98" t="str">
        <f t="shared" si="7"/>
        <v/>
      </c>
      <c r="C468" s="29"/>
      <c r="D468" s="29"/>
      <c r="E468" s="29"/>
      <c r="F468" s="29"/>
      <c r="G468" s="29"/>
      <c r="H468" s="29"/>
      <c r="I468" s="29"/>
      <c r="J468" s="98" t="str" cm="1">
        <f t="array" ref="J468">IF(ISBLANK($C468),"",SUMPRODUCT(--(LEFT(D468:I468, 1) = "*"))*50)</f>
        <v/>
      </c>
    </row>
    <row r="469" spans="1:10" ht="27" customHeight="1">
      <c r="A469" s="29"/>
      <c r="B469" s="98" t="str">
        <f t="shared" si="7"/>
        <v/>
      </c>
      <c r="C469" s="29"/>
      <c r="D469" s="29"/>
      <c r="E469" s="29"/>
      <c r="F469" s="29"/>
      <c r="G469" s="29"/>
      <c r="H469" s="29"/>
      <c r="I469" s="29"/>
      <c r="J469" s="98" t="str" cm="1">
        <f t="array" ref="J469">IF(ISBLANK($C469),"",SUMPRODUCT(--(LEFT(D469:I469, 1) = "*"))*50)</f>
        <v/>
      </c>
    </row>
    <row r="470" spans="1:10" ht="27" customHeight="1">
      <c r="A470" s="29"/>
      <c r="B470" s="98" t="str">
        <f t="shared" si="7"/>
        <v/>
      </c>
      <c r="C470" s="29"/>
      <c r="D470" s="29"/>
      <c r="E470" s="29"/>
      <c r="F470" s="29"/>
      <c r="G470" s="29"/>
      <c r="H470" s="29"/>
      <c r="I470" s="29"/>
      <c r="J470" s="98" t="str" cm="1">
        <f t="array" ref="J470">IF(ISBLANK($C470),"",SUMPRODUCT(--(LEFT(D470:I470, 1) = "*"))*50)</f>
        <v/>
      </c>
    </row>
    <row r="471" spans="1:10" ht="27" customHeight="1">
      <c r="A471" s="29"/>
      <c r="B471" s="98" t="str">
        <f t="shared" si="7"/>
        <v/>
      </c>
      <c r="C471" s="29"/>
      <c r="D471" s="29"/>
      <c r="E471" s="29"/>
      <c r="F471" s="29"/>
      <c r="G471" s="29"/>
      <c r="H471" s="29"/>
      <c r="I471" s="29"/>
      <c r="J471" s="98" t="str" cm="1">
        <f t="array" ref="J471">IF(ISBLANK($C471),"",SUMPRODUCT(--(LEFT(D471:I471, 1) = "*"))*50)</f>
        <v/>
      </c>
    </row>
    <row r="472" spans="1:10" ht="27" customHeight="1">
      <c r="A472" s="29"/>
      <c r="B472" s="98" t="str">
        <f t="shared" si="7"/>
        <v/>
      </c>
      <c r="C472" s="29"/>
      <c r="D472" s="29"/>
      <c r="E472" s="29"/>
      <c r="F472" s="29"/>
      <c r="G472" s="29"/>
      <c r="H472" s="29"/>
      <c r="I472" s="29"/>
      <c r="J472" s="98" t="str" cm="1">
        <f t="array" ref="J472">IF(ISBLANK($C472),"",SUMPRODUCT(--(LEFT(D472:I472, 1) = "*"))*50)</f>
        <v/>
      </c>
    </row>
    <row r="473" spans="1:10" ht="27" customHeight="1">
      <c r="A473" s="29"/>
      <c r="B473" s="98" t="str">
        <f t="shared" si="7"/>
        <v/>
      </c>
      <c r="C473" s="29"/>
      <c r="D473" s="29"/>
      <c r="E473" s="29"/>
      <c r="F473" s="29"/>
      <c r="G473" s="29"/>
      <c r="H473" s="29"/>
      <c r="I473" s="29"/>
      <c r="J473" s="98" t="str" cm="1">
        <f t="array" ref="J473">IF(ISBLANK($C473),"",SUMPRODUCT(--(LEFT(D473:I473, 1) = "*"))*50)</f>
        <v/>
      </c>
    </row>
    <row r="474" spans="1:10" ht="27" customHeight="1">
      <c r="A474" s="29"/>
      <c r="B474" s="98" t="str">
        <f t="shared" si="7"/>
        <v/>
      </c>
      <c r="C474" s="29"/>
      <c r="D474" s="29"/>
      <c r="E474" s="29"/>
      <c r="F474" s="29"/>
      <c r="G474" s="29"/>
      <c r="H474" s="29"/>
      <c r="I474" s="29"/>
      <c r="J474" s="98" t="str" cm="1">
        <f t="array" ref="J474">IF(ISBLANK($C474),"",SUMPRODUCT(--(LEFT(D474:I474, 1) = "*"))*50)</f>
        <v/>
      </c>
    </row>
    <row r="475" spans="1:10" ht="27" customHeight="1">
      <c r="A475" s="29"/>
      <c r="B475" s="98" t="str">
        <f t="shared" si="7"/>
        <v/>
      </c>
      <c r="C475" s="29"/>
      <c r="D475" s="29"/>
      <c r="E475" s="29"/>
      <c r="F475" s="29"/>
      <c r="G475" s="29"/>
      <c r="H475" s="29"/>
      <c r="I475" s="29"/>
      <c r="J475" s="98" t="str" cm="1">
        <f t="array" ref="J475">IF(ISBLANK($C475),"",SUMPRODUCT(--(LEFT(D475:I475, 1) = "*"))*50)</f>
        <v/>
      </c>
    </row>
    <row r="476" spans="1:10" ht="27" customHeight="1">
      <c r="A476" s="29"/>
      <c r="B476" s="98" t="str">
        <f t="shared" si="7"/>
        <v/>
      </c>
      <c r="C476" s="29"/>
      <c r="D476" s="29"/>
      <c r="E476" s="29"/>
      <c r="F476" s="29"/>
      <c r="G476" s="29"/>
      <c r="H476" s="29"/>
      <c r="I476" s="29"/>
      <c r="J476" s="98" t="str" cm="1">
        <f t="array" ref="J476">IF(ISBLANK($C476),"",SUMPRODUCT(--(LEFT(D476:I476, 1) = "*"))*50)</f>
        <v/>
      </c>
    </row>
    <row r="477" spans="1:10" ht="27" customHeight="1">
      <c r="A477" s="29"/>
      <c r="B477" s="98" t="str">
        <f t="shared" si="7"/>
        <v/>
      </c>
      <c r="C477" s="29"/>
      <c r="D477" s="29"/>
      <c r="E477" s="29"/>
      <c r="F477" s="29"/>
      <c r="G477" s="29"/>
      <c r="H477" s="29"/>
      <c r="I477" s="29"/>
      <c r="J477" s="98" t="str" cm="1">
        <f t="array" ref="J477">IF(ISBLANK($C477),"",SUMPRODUCT(--(LEFT(D477:I477, 1) = "*"))*50)</f>
        <v/>
      </c>
    </row>
    <row r="478" spans="1:10" ht="27" customHeight="1">
      <c r="A478" s="29"/>
      <c r="B478" s="98" t="str">
        <f t="shared" si="7"/>
        <v/>
      </c>
      <c r="C478" s="29"/>
      <c r="D478" s="29"/>
      <c r="E478" s="29"/>
      <c r="F478" s="29"/>
      <c r="G478" s="29"/>
      <c r="H478" s="29"/>
      <c r="I478" s="29"/>
      <c r="J478" s="98" t="str" cm="1">
        <f t="array" ref="J478">IF(ISBLANK($C478),"",SUMPRODUCT(--(LEFT(D478:I478, 1) = "*"))*50)</f>
        <v/>
      </c>
    </row>
    <row r="479" spans="1:10" ht="27" customHeight="1">
      <c r="A479" s="29"/>
      <c r="B479" s="98" t="str">
        <f t="shared" si="7"/>
        <v/>
      </c>
      <c r="C479" s="29"/>
      <c r="D479" s="29"/>
      <c r="E479" s="29"/>
      <c r="F479" s="29"/>
      <c r="G479" s="29"/>
      <c r="H479" s="29"/>
      <c r="I479" s="29"/>
      <c r="J479" s="98" t="str" cm="1">
        <f t="array" ref="J479">IF(ISBLANK($C479),"",SUMPRODUCT(--(LEFT(D479:I479, 1) = "*"))*50)</f>
        <v/>
      </c>
    </row>
    <row r="480" spans="1:10" ht="27" customHeight="1">
      <c r="A480" s="29"/>
      <c r="B480" s="98" t="str">
        <f t="shared" si="7"/>
        <v/>
      </c>
      <c r="C480" s="29"/>
      <c r="D480" s="29"/>
      <c r="E480" s="29"/>
      <c r="F480" s="29"/>
      <c r="G480" s="29"/>
      <c r="H480" s="29"/>
      <c r="I480" s="29"/>
      <c r="J480" s="98" t="str" cm="1">
        <f t="array" ref="J480">IF(ISBLANK($C480),"",SUMPRODUCT(--(LEFT(D480:I480, 1) = "*"))*50)</f>
        <v/>
      </c>
    </row>
    <row r="481" spans="1:10" ht="27" customHeight="1">
      <c r="A481" s="29"/>
      <c r="B481" s="98" t="str">
        <f t="shared" si="7"/>
        <v/>
      </c>
      <c r="C481" s="29"/>
      <c r="D481" s="29"/>
      <c r="E481" s="29"/>
      <c r="F481" s="29"/>
      <c r="G481" s="29"/>
      <c r="H481" s="29"/>
      <c r="I481" s="29"/>
      <c r="J481" s="98" t="str" cm="1">
        <f t="array" ref="J481">IF(ISBLANK($C481),"",SUMPRODUCT(--(LEFT(D481:I481, 1) = "*"))*50)</f>
        <v/>
      </c>
    </row>
    <row r="482" spans="1:10" ht="27" customHeight="1">
      <c r="A482" s="29"/>
      <c r="B482" s="98" t="str">
        <f t="shared" si="7"/>
        <v/>
      </c>
      <c r="C482" s="29"/>
      <c r="D482" s="29"/>
      <c r="E482" s="29"/>
      <c r="F482" s="29"/>
      <c r="G482" s="29"/>
      <c r="H482" s="29"/>
      <c r="I482" s="29"/>
      <c r="J482" s="98" t="str" cm="1">
        <f t="array" ref="J482">IF(ISBLANK($C482),"",SUMPRODUCT(--(LEFT(D482:I482, 1) = "*"))*50)</f>
        <v/>
      </c>
    </row>
    <row r="483" spans="1:10" ht="27" customHeight="1">
      <c r="A483" s="29"/>
      <c r="B483" s="98" t="str">
        <f t="shared" si="7"/>
        <v/>
      </c>
      <c r="C483" s="29"/>
      <c r="D483" s="29"/>
      <c r="E483" s="29"/>
      <c r="F483" s="29"/>
      <c r="G483" s="29"/>
      <c r="H483" s="29"/>
      <c r="I483" s="29"/>
      <c r="J483" s="98" t="str" cm="1">
        <f t="array" ref="J483">IF(ISBLANK($C483),"",SUMPRODUCT(--(LEFT(D483:I483, 1) = "*"))*50)</f>
        <v/>
      </c>
    </row>
    <row r="484" spans="1:10" ht="27" customHeight="1">
      <c r="A484" s="29"/>
      <c r="B484" s="98" t="str">
        <f t="shared" si="7"/>
        <v/>
      </c>
      <c r="C484" s="29"/>
      <c r="D484" s="29"/>
      <c r="E484" s="29"/>
      <c r="F484" s="29"/>
      <c r="G484" s="29"/>
      <c r="H484" s="29"/>
      <c r="I484" s="29"/>
      <c r="J484" s="98" t="str" cm="1">
        <f t="array" ref="J484">IF(ISBLANK($C484),"",SUMPRODUCT(--(LEFT(D484:I484, 1) = "*"))*50)</f>
        <v/>
      </c>
    </row>
    <row r="485" spans="1:10" ht="27" customHeight="1">
      <c r="A485" s="29"/>
      <c r="B485" s="98" t="str">
        <f t="shared" si="7"/>
        <v/>
      </c>
      <c r="C485" s="29"/>
      <c r="D485" s="29"/>
      <c r="E485" s="29"/>
      <c r="F485" s="29"/>
      <c r="G485" s="29"/>
      <c r="H485" s="29"/>
      <c r="I485" s="29"/>
      <c r="J485" s="98" t="str" cm="1">
        <f t="array" ref="J485">IF(ISBLANK($C485),"",SUMPRODUCT(--(LEFT(D485:I485, 1) = "*"))*50)</f>
        <v/>
      </c>
    </row>
    <row r="486" spans="1:10" ht="27" customHeight="1">
      <c r="A486" s="29"/>
      <c r="B486" s="98" t="str">
        <f t="shared" si="7"/>
        <v/>
      </c>
      <c r="C486" s="29"/>
      <c r="D486" s="29"/>
      <c r="E486" s="29"/>
      <c r="F486" s="29"/>
      <c r="G486" s="29"/>
      <c r="H486" s="29"/>
      <c r="I486" s="29"/>
      <c r="J486" s="98" t="str" cm="1">
        <f t="array" ref="J486">IF(ISBLANK($C486),"",SUMPRODUCT(--(LEFT(D486:I486, 1) = "*"))*50)</f>
        <v/>
      </c>
    </row>
    <row r="487" spans="1:10" ht="27" customHeight="1">
      <c r="A487" s="29"/>
      <c r="B487" s="98" t="str">
        <f t="shared" si="7"/>
        <v/>
      </c>
      <c r="C487" s="29"/>
      <c r="D487" s="29"/>
      <c r="E487" s="29"/>
      <c r="F487" s="29"/>
      <c r="G487" s="29"/>
      <c r="H487" s="29"/>
      <c r="I487" s="29"/>
      <c r="J487" s="98" t="str" cm="1">
        <f t="array" ref="J487">IF(ISBLANK($C487),"",SUMPRODUCT(--(LEFT(D487:I487, 1) = "*"))*50)</f>
        <v/>
      </c>
    </row>
    <row r="488" spans="1:10" ht="27" customHeight="1">
      <c r="A488" s="29"/>
      <c r="B488" s="98" t="str">
        <f t="shared" si="7"/>
        <v/>
      </c>
      <c r="C488" s="29"/>
      <c r="D488" s="29"/>
      <c r="E488" s="29"/>
      <c r="F488" s="29"/>
      <c r="G488" s="29"/>
      <c r="H488" s="29"/>
      <c r="I488" s="29"/>
      <c r="J488" s="98" t="str" cm="1">
        <f t="array" ref="J488">IF(ISBLANK($C488),"",SUMPRODUCT(--(LEFT(D488:I488, 1) = "*"))*50)</f>
        <v/>
      </c>
    </row>
    <row r="489" spans="1:10" ht="27" customHeight="1">
      <c r="A489" s="29"/>
      <c r="B489" s="98" t="str">
        <f t="shared" si="7"/>
        <v/>
      </c>
      <c r="C489" s="29"/>
      <c r="D489" s="29"/>
      <c r="E489" s="29"/>
      <c r="F489" s="29"/>
      <c r="G489" s="29"/>
      <c r="H489" s="29"/>
      <c r="I489" s="29"/>
      <c r="J489" s="98" t="str" cm="1">
        <f t="array" ref="J489">IF(ISBLANK($C489),"",SUMPRODUCT(--(LEFT(D489:I489, 1) = "*"))*50)</f>
        <v/>
      </c>
    </row>
    <row r="490" spans="1:10" ht="27" customHeight="1">
      <c r="A490" s="29"/>
      <c r="B490" s="98" t="str">
        <f t="shared" si="7"/>
        <v/>
      </c>
      <c r="C490" s="29"/>
      <c r="D490" s="29"/>
      <c r="E490" s="29"/>
      <c r="F490" s="29"/>
      <c r="G490" s="29"/>
      <c r="H490" s="29"/>
      <c r="I490" s="29"/>
      <c r="J490" s="98" t="str" cm="1">
        <f t="array" ref="J490">IF(ISBLANK($C490),"",SUMPRODUCT(--(LEFT(D490:I490, 1) = "*"))*50)</f>
        <v/>
      </c>
    </row>
    <row r="491" spans="1:10" ht="27" customHeight="1">
      <c r="A491" s="29"/>
      <c r="B491" s="98" t="str">
        <f t="shared" si="7"/>
        <v/>
      </c>
      <c r="C491" s="29"/>
      <c r="D491" s="29"/>
      <c r="E491" s="29"/>
      <c r="F491" s="29"/>
      <c r="G491" s="29"/>
      <c r="H491" s="29"/>
      <c r="I491" s="29"/>
      <c r="J491" s="98" t="str" cm="1">
        <f t="array" ref="J491">IF(ISBLANK($C491),"",SUMPRODUCT(--(LEFT(D491:I491, 1) = "*"))*50)</f>
        <v/>
      </c>
    </row>
    <row r="492" spans="1:10" ht="27" customHeight="1">
      <c r="A492" s="29"/>
      <c r="B492" s="98" t="str">
        <f t="shared" si="7"/>
        <v/>
      </c>
      <c r="C492" s="29"/>
      <c r="D492" s="29"/>
      <c r="E492" s="29"/>
      <c r="F492" s="29"/>
      <c r="G492" s="29"/>
      <c r="H492" s="29"/>
      <c r="I492" s="29"/>
      <c r="J492" s="98" t="str" cm="1">
        <f t="array" ref="J492">IF(ISBLANK($C492),"",SUMPRODUCT(--(LEFT(D492:I492, 1) = "*"))*50)</f>
        <v/>
      </c>
    </row>
    <row r="493" spans="1:10" ht="27" customHeight="1">
      <c r="A493" s="29"/>
      <c r="B493" s="98" t="str">
        <f t="shared" si="7"/>
        <v/>
      </c>
      <c r="C493" s="29"/>
      <c r="D493" s="29"/>
      <c r="E493" s="29"/>
      <c r="F493" s="29"/>
      <c r="G493" s="29"/>
      <c r="H493" s="29"/>
      <c r="I493" s="29"/>
      <c r="J493" s="98" t="str" cm="1">
        <f t="array" ref="J493">IF(ISBLANK($C493),"",SUMPRODUCT(--(LEFT(D493:I493, 1) = "*"))*50)</f>
        <v/>
      </c>
    </row>
    <row r="494" spans="1:10" ht="27" customHeight="1">
      <c r="A494" s="29"/>
      <c r="B494" s="98" t="str">
        <f t="shared" si="7"/>
        <v/>
      </c>
      <c r="C494" s="29"/>
      <c r="D494" s="29"/>
      <c r="E494" s="29"/>
      <c r="F494" s="29"/>
      <c r="G494" s="29"/>
      <c r="H494" s="29"/>
      <c r="I494" s="29"/>
      <c r="J494" s="98" t="str" cm="1">
        <f t="array" ref="J494">IF(ISBLANK($C494),"",SUMPRODUCT(--(LEFT(D494:I494, 1) = "*"))*50)</f>
        <v/>
      </c>
    </row>
    <row r="495" spans="1:10" ht="27" customHeight="1">
      <c r="A495" s="29"/>
      <c r="B495" s="98" t="str">
        <f t="shared" si="7"/>
        <v/>
      </c>
      <c r="C495" s="29"/>
      <c r="D495" s="29"/>
      <c r="E495" s="29"/>
      <c r="F495" s="29"/>
      <c r="G495" s="29"/>
      <c r="H495" s="29"/>
      <c r="I495" s="29"/>
      <c r="J495" s="98" t="str" cm="1">
        <f t="array" ref="J495">IF(ISBLANK($C495),"",SUMPRODUCT(--(LEFT(D495:I495, 1) = "*"))*50)</f>
        <v/>
      </c>
    </row>
    <row r="496" spans="1:10" ht="27" customHeight="1">
      <c r="A496" s="29"/>
      <c r="B496" s="98" t="str">
        <f t="shared" si="7"/>
        <v/>
      </c>
      <c r="C496" s="29"/>
      <c r="D496" s="29"/>
      <c r="E496" s="29"/>
      <c r="F496" s="29"/>
      <c r="G496" s="29"/>
      <c r="H496" s="29"/>
      <c r="I496" s="29"/>
      <c r="J496" s="98" t="str" cm="1">
        <f t="array" ref="J496">IF(ISBLANK($C496),"",SUMPRODUCT(--(LEFT(D496:I496, 1) = "*"))*50)</f>
        <v/>
      </c>
    </row>
    <row r="497" spans="1:10" ht="27" customHeight="1">
      <c r="A497" s="29"/>
      <c r="B497" s="98" t="str">
        <f t="shared" si="7"/>
        <v/>
      </c>
      <c r="C497" s="29"/>
      <c r="D497" s="29"/>
      <c r="E497" s="29"/>
      <c r="F497" s="29"/>
      <c r="G497" s="29"/>
      <c r="H497" s="29"/>
      <c r="I497" s="29"/>
      <c r="J497" s="98" t="str" cm="1">
        <f t="array" ref="J497">IF(ISBLANK($C497),"",SUMPRODUCT(--(LEFT(D497:I497, 1) = "*"))*50)</f>
        <v/>
      </c>
    </row>
    <row r="498" spans="1:10" ht="27" customHeight="1">
      <c r="A498" s="29"/>
      <c r="B498" s="98" t="str">
        <f t="shared" si="7"/>
        <v/>
      </c>
      <c r="C498" s="29"/>
      <c r="D498" s="29"/>
      <c r="E498" s="29"/>
      <c r="F498" s="29"/>
      <c r="G498" s="29"/>
      <c r="H498" s="29"/>
      <c r="I498" s="29"/>
      <c r="J498" s="98" t="str" cm="1">
        <f t="array" ref="J498">IF(ISBLANK($C498),"",SUMPRODUCT(--(LEFT(D498:I498, 1) = "*"))*50)</f>
        <v/>
      </c>
    </row>
    <row r="499" spans="1:10" ht="27" customHeight="1">
      <c r="A499" s="29"/>
      <c r="B499" s="98" t="str">
        <f t="shared" si="7"/>
        <v/>
      </c>
      <c r="C499" s="29"/>
      <c r="D499" s="29"/>
      <c r="E499" s="29"/>
      <c r="F499" s="29"/>
      <c r="G499" s="29"/>
      <c r="H499" s="29"/>
      <c r="I499" s="29"/>
      <c r="J499" s="98" t="str" cm="1">
        <f t="array" ref="J499">IF(ISBLANK($C499),"",SUMPRODUCT(--(LEFT(D499:I499, 1) = "*"))*50)</f>
        <v/>
      </c>
    </row>
    <row r="500" spans="1:10" ht="27" customHeight="1">
      <c r="A500" s="29"/>
      <c r="B500" s="98" t="str">
        <f t="shared" si="7"/>
        <v/>
      </c>
      <c r="C500" s="29"/>
      <c r="D500" s="29"/>
      <c r="E500" s="29"/>
      <c r="F500" s="29"/>
      <c r="G500" s="29"/>
      <c r="H500" s="29"/>
      <c r="I500" s="29"/>
      <c r="J500" s="98" t="str" cm="1">
        <f t="array" ref="J500">IF(ISBLANK($C500),"",SUMPRODUCT(--(LEFT(D500:I500, 1) = "*"))*50)</f>
        <v/>
      </c>
    </row>
    <row r="501" spans="1:10" ht="27" customHeight="1">
      <c r="A501" s="29"/>
      <c r="B501" s="98" t="str">
        <f t="shared" si="7"/>
        <v/>
      </c>
      <c r="C501" s="29"/>
      <c r="D501" s="29"/>
      <c r="E501" s="29"/>
      <c r="F501" s="29"/>
      <c r="G501" s="29"/>
      <c r="H501" s="29"/>
      <c r="I501" s="29"/>
      <c r="J501" s="98" t="str" cm="1">
        <f t="array" ref="J501">IF(ISBLANK($C501),"",SUMPRODUCT(--(LEFT(D501:I501, 1) = "*"))*50)</f>
        <v/>
      </c>
    </row>
    <row r="502" spans="1:10" ht="27" customHeight="1">
      <c r="A502" s="29"/>
      <c r="B502" s="98" t="str">
        <f t="shared" si="7"/>
        <v/>
      </c>
      <c r="C502" s="29"/>
      <c r="D502" s="29"/>
      <c r="E502" s="29"/>
      <c r="F502" s="29"/>
      <c r="G502" s="29"/>
      <c r="H502" s="29"/>
      <c r="I502" s="29"/>
      <c r="J502" s="98" t="str" cm="1">
        <f t="array" ref="J502">IF(ISBLANK($C502),"",SUMPRODUCT(--(LEFT(D502:I502, 1) = "*"))*50)</f>
        <v/>
      </c>
    </row>
    <row r="503" spans="1:10" ht="27" customHeight="1">
      <c r="A503" s="29"/>
      <c r="B503" s="98" t="str">
        <f t="shared" si="7"/>
        <v/>
      </c>
      <c r="C503" s="29"/>
      <c r="D503" s="29"/>
      <c r="E503" s="29"/>
      <c r="F503" s="29"/>
      <c r="G503" s="29"/>
      <c r="H503" s="29"/>
      <c r="I503" s="29"/>
      <c r="J503" s="98" t="str" cm="1">
        <f t="array" ref="J503">IF(ISBLANK($C503),"",SUMPRODUCT(--(LEFT(D503:I503, 1) = "*"))*50)</f>
        <v/>
      </c>
    </row>
    <row r="504" spans="1:10" ht="27" customHeight="1">
      <c r="A504" s="29"/>
      <c r="B504" s="98" t="str">
        <f t="shared" si="7"/>
        <v/>
      </c>
      <c r="C504" s="29"/>
      <c r="D504" s="29"/>
      <c r="E504" s="29"/>
      <c r="F504" s="29"/>
      <c r="G504" s="29"/>
      <c r="H504" s="29"/>
      <c r="I504" s="29"/>
      <c r="J504" s="98" t="str" cm="1">
        <f t="array" ref="J504">IF(ISBLANK($C504),"",SUMPRODUCT(--(LEFT(D504:I504, 1) = "*"))*50)</f>
        <v/>
      </c>
    </row>
    <row r="505" spans="1:10" ht="27" customHeight="1">
      <c r="A505" s="29"/>
      <c r="B505" s="98" t="str">
        <f t="shared" si="7"/>
        <v/>
      </c>
      <c r="C505" s="29"/>
      <c r="D505" s="29"/>
      <c r="E505" s="29"/>
      <c r="F505" s="29"/>
      <c r="G505" s="29"/>
      <c r="H505" s="29"/>
      <c r="I505" s="29"/>
      <c r="J505" s="98" t="str" cm="1">
        <f t="array" ref="J505">IF(ISBLANK($C505),"",SUMPRODUCT(--(LEFT(D505:I505, 1) = "*"))*50)</f>
        <v/>
      </c>
    </row>
    <row r="506" spans="1:10" ht="27" customHeight="1">
      <c r="A506" s="29"/>
      <c r="B506" s="98" t="str">
        <f t="shared" si="7"/>
        <v/>
      </c>
      <c r="C506" s="29"/>
      <c r="D506" s="29"/>
      <c r="E506" s="29"/>
      <c r="F506" s="29"/>
      <c r="G506" s="29"/>
      <c r="H506" s="29"/>
      <c r="I506" s="29"/>
      <c r="J506" s="98" t="str" cm="1">
        <f t="array" ref="J506">IF(ISBLANK($C506),"",SUMPRODUCT(--(LEFT(D506:I506, 1) = "*"))*50)</f>
        <v/>
      </c>
    </row>
    <row r="507" spans="1:10" ht="27" customHeight="1">
      <c r="A507" s="29"/>
      <c r="B507" s="98" t="str">
        <f t="shared" si="7"/>
        <v/>
      </c>
      <c r="C507" s="29"/>
      <c r="D507" s="29"/>
      <c r="E507" s="29"/>
      <c r="F507" s="29"/>
      <c r="G507" s="29"/>
      <c r="H507" s="29"/>
      <c r="I507" s="29"/>
      <c r="J507" s="98" t="str" cm="1">
        <f t="array" ref="J507">IF(ISBLANK($C507),"",SUMPRODUCT(--(LEFT(D507:I507, 1) = "*"))*50)</f>
        <v/>
      </c>
    </row>
    <row r="508" spans="1:10" ht="27" customHeight="1">
      <c r="A508" s="29"/>
      <c r="B508" s="98" t="str">
        <f t="shared" si="7"/>
        <v/>
      </c>
      <c r="C508" s="29"/>
      <c r="D508" s="29"/>
      <c r="E508" s="29"/>
      <c r="F508" s="29"/>
      <c r="G508" s="29"/>
      <c r="H508" s="29"/>
      <c r="I508" s="29"/>
      <c r="J508" s="98" t="str" cm="1">
        <f t="array" ref="J508">IF(ISBLANK($C508),"",SUMPRODUCT(--(LEFT(D508:I508, 1) = "*"))*50)</f>
        <v/>
      </c>
    </row>
    <row r="509" spans="1:10" ht="27" customHeight="1">
      <c r="A509" s="29"/>
      <c r="B509" s="98" t="str">
        <f t="shared" si="7"/>
        <v/>
      </c>
      <c r="C509" s="29"/>
      <c r="D509" s="29"/>
      <c r="E509" s="29"/>
      <c r="F509" s="29"/>
      <c r="G509" s="29"/>
      <c r="H509" s="29"/>
      <c r="I509" s="29"/>
      <c r="J509" s="98" t="str" cm="1">
        <f t="array" ref="J509">IF(ISBLANK($C509),"",SUMPRODUCT(--(LEFT(D509:I509, 1) = "*"))*50)</f>
        <v/>
      </c>
    </row>
    <row r="510" spans="1:10" ht="27" customHeight="1">
      <c r="A510" s="29"/>
      <c r="B510" s="98" t="str">
        <f t="shared" si="7"/>
        <v/>
      </c>
      <c r="C510" s="29"/>
      <c r="D510" s="29"/>
      <c r="E510" s="29"/>
      <c r="F510" s="29"/>
      <c r="G510" s="29"/>
      <c r="H510" s="29"/>
      <c r="I510" s="29"/>
      <c r="J510" s="98" t="str" cm="1">
        <f t="array" ref="J510">IF(ISBLANK($C510),"",SUMPRODUCT(--(LEFT(D510:I510, 1) = "*"))*50)</f>
        <v/>
      </c>
    </row>
    <row r="511" spans="1:10" ht="27" customHeight="1">
      <c r="A511" s="29"/>
      <c r="B511" s="98" t="str">
        <f t="shared" si="7"/>
        <v/>
      </c>
      <c r="C511" s="29"/>
      <c r="D511" s="29"/>
      <c r="E511" s="29"/>
      <c r="F511" s="29"/>
      <c r="G511" s="29"/>
      <c r="H511" s="29"/>
      <c r="I511" s="29"/>
      <c r="J511" s="98" t="str" cm="1">
        <f t="array" ref="J511">IF(ISBLANK($C511),"",SUMPRODUCT(--(LEFT(D511:I511, 1) = "*"))*50)</f>
        <v/>
      </c>
    </row>
    <row r="512" spans="1:10" ht="27" customHeight="1">
      <c r="A512" s="29"/>
      <c r="B512" s="98" t="str">
        <f t="shared" si="7"/>
        <v/>
      </c>
      <c r="C512" s="29"/>
      <c r="D512" s="29"/>
      <c r="E512" s="29"/>
      <c r="F512" s="29"/>
      <c r="G512" s="29"/>
      <c r="H512" s="29"/>
      <c r="I512" s="29"/>
      <c r="J512" s="98" t="str" cm="1">
        <f t="array" ref="J512">IF(ISBLANK($C512),"",SUMPRODUCT(--(LEFT(D512:I512, 1) = "*"))*50)</f>
        <v/>
      </c>
    </row>
    <row r="513" spans="1:10" ht="27" customHeight="1">
      <c r="A513" s="29"/>
      <c r="B513" s="98" t="str">
        <f t="shared" si="7"/>
        <v/>
      </c>
      <c r="C513" s="29"/>
      <c r="D513" s="29"/>
      <c r="E513" s="29"/>
      <c r="F513" s="29"/>
      <c r="G513" s="29"/>
      <c r="H513" s="29"/>
      <c r="I513" s="29"/>
      <c r="J513" s="98" t="str" cm="1">
        <f t="array" ref="J513">IF(ISBLANK($C513),"",SUMPRODUCT(--(LEFT(D513:I513, 1) = "*"))*50)</f>
        <v/>
      </c>
    </row>
    <row r="514" spans="1:10" ht="27" customHeight="1">
      <c r="A514" s="29"/>
      <c r="B514" s="98" t="str">
        <f t="shared" si="7"/>
        <v/>
      </c>
      <c r="C514" s="29"/>
      <c r="D514" s="29"/>
      <c r="E514" s="29"/>
      <c r="F514" s="29"/>
      <c r="G514" s="29"/>
      <c r="H514" s="29"/>
      <c r="I514" s="29"/>
      <c r="J514" s="98" t="str" cm="1">
        <f t="array" ref="J514">IF(ISBLANK($C514),"",SUMPRODUCT(--(LEFT(D514:I514, 1) = "*"))*50)</f>
        <v/>
      </c>
    </row>
    <row r="515" spans="1:10" ht="27" customHeight="1">
      <c r="A515" s="29"/>
      <c r="B515" s="98" t="str">
        <f t="shared" ref="B515:B578" si="8">IF(ISBLANK($C515),"","MCQ")</f>
        <v/>
      </c>
      <c r="C515" s="29"/>
      <c r="D515" s="29"/>
      <c r="E515" s="29"/>
      <c r="F515" s="29"/>
      <c r="G515" s="29"/>
      <c r="H515" s="29"/>
      <c r="I515" s="29"/>
      <c r="J515" s="98" t="str" cm="1">
        <f t="array" ref="J515">IF(ISBLANK($C515),"",SUMPRODUCT(--(LEFT(D515:I515, 1) = "*"))*50)</f>
        <v/>
      </c>
    </row>
    <row r="516" spans="1:10" ht="27" customHeight="1">
      <c r="A516" s="29"/>
      <c r="B516" s="98" t="str">
        <f t="shared" si="8"/>
        <v/>
      </c>
      <c r="C516" s="29"/>
      <c r="D516" s="29"/>
      <c r="E516" s="29"/>
      <c r="F516" s="29"/>
      <c r="G516" s="29"/>
      <c r="H516" s="29"/>
      <c r="I516" s="29"/>
      <c r="J516" s="98" t="str" cm="1">
        <f t="array" ref="J516">IF(ISBLANK($C516),"",SUMPRODUCT(--(LEFT(D516:I516, 1) = "*"))*50)</f>
        <v/>
      </c>
    </row>
    <row r="517" spans="1:10" ht="27" customHeight="1">
      <c r="A517" s="29"/>
      <c r="B517" s="98" t="str">
        <f t="shared" si="8"/>
        <v/>
      </c>
      <c r="C517" s="29"/>
      <c r="D517" s="29"/>
      <c r="E517" s="29"/>
      <c r="F517" s="29"/>
      <c r="G517" s="29"/>
      <c r="H517" s="29"/>
      <c r="I517" s="29"/>
      <c r="J517" s="98" t="str" cm="1">
        <f t="array" ref="J517">IF(ISBLANK($C517),"",SUMPRODUCT(--(LEFT(D517:I517, 1) = "*"))*50)</f>
        <v/>
      </c>
    </row>
    <row r="518" spans="1:10" ht="27" customHeight="1">
      <c r="A518" s="29"/>
      <c r="B518" s="98" t="str">
        <f t="shared" si="8"/>
        <v/>
      </c>
      <c r="C518" s="29"/>
      <c r="D518" s="29"/>
      <c r="E518" s="29"/>
      <c r="F518" s="29"/>
      <c r="G518" s="29"/>
      <c r="H518" s="29"/>
      <c r="I518" s="29"/>
      <c r="J518" s="98" t="str" cm="1">
        <f t="array" ref="J518">IF(ISBLANK($C518),"",SUMPRODUCT(--(LEFT(D518:I518, 1) = "*"))*50)</f>
        <v/>
      </c>
    </row>
    <row r="519" spans="1:10" ht="27" customHeight="1">
      <c r="A519" s="29"/>
      <c r="B519" s="98" t="str">
        <f t="shared" si="8"/>
        <v/>
      </c>
      <c r="C519" s="29"/>
      <c r="D519" s="29"/>
      <c r="E519" s="29"/>
      <c r="F519" s="29"/>
      <c r="G519" s="29"/>
      <c r="H519" s="29"/>
      <c r="I519" s="29"/>
      <c r="J519" s="98" t="str" cm="1">
        <f t="array" ref="J519">IF(ISBLANK($C519),"",SUMPRODUCT(--(LEFT(D519:I519, 1) = "*"))*50)</f>
        <v/>
      </c>
    </row>
    <row r="520" spans="1:10" ht="27" customHeight="1">
      <c r="A520" s="29"/>
      <c r="B520" s="98" t="str">
        <f t="shared" si="8"/>
        <v/>
      </c>
      <c r="C520" s="29"/>
      <c r="D520" s="29"/>
      <c r="E520" s="29"/>
      <c r="F520" s="29"/>
      <c r="G520" s="29"/>
      <c r="H520" s="29"/>
      <c r="I520" s="29"/>
      <c r="J520" s="98" t="str" cm="1">
        <f t="array" ref="J520">IF(ISBLANK($C520),"",SUMPRODUCT(--(LEFT(D520:I520, 1) = "*"))*50)</f>
        <v/>
      </c>
    </row>
    <row r="521" spans="1:10" ht="27" customHeight="1">
      <c r="A521" s="29"/>
      <c r="B521" s="98" t="str">
        <f t="shared" si="8"/>
        <v/>
      </c>
      <c r="C521" s="29"/>
      <c r="D521" s="29"/>
      <c r="E521" s="29"/>
      <c r="F521" s="29"/>
      <c r="G521" s="29"/>
      <c r="H521" s="29"/>
      <c r="I521" s="29"/>
      <c r="J521" s="98" t="str" cm="1">
        <f t="array" ref="J521">IF(ISBLANK($C521),"",SUMPRODUCT(--(LEFT(D521:I521, 1) = "*"))*50)</f>
        <v/>
      </c>
    </row>
    <row r="522" spans="1:10" ht="27" customHeight="1">
      <c r="A522" s="29"/>
      <c r="B522" s="98" t="str">
        <f t="shared" si="8"/>
        <v/>
      </c>
      <c r="C522" s="29"/>
      <c r="D522" s="29"/>
      <c r="E522" s="29"/>
      <c r="F522" s="29"/>
      <c r="G522" s="29"/>
      <c r="H522" s="29"/>
      <c r="I522" s="29"/>
      <c r="J522" s="98" t="str" cm="1">
        <f t="array" ref="J522">IF(ISBLANK($C522),"",SUMPRODUCT(--(LEFT(D522:I522, 1) = "*"))*50)</f>
        <v/>
      </c>
    </row>
    <row r="523" spans="1:10" ht="27" customHeight="1">
      <c r="A523" s="29"/>
      <c r="B523" s="98" t="str">
        <f t="shared" si="8"/>
        <v/>
      </c>
      <c r="C523" s="29"/>
      <c r="D523" s="29"/>
      <c r="E523" s="29"/>
      <c r="F523" s="29"/>
      <c r="G523" s="29"/>
      <c r="H523" s="29"/>
      <c r="I523" s="29"/>
      <c r="J523" s="98" t="str" cm="1">
        <f t="array" ref="J523">IF(ISBLANK($C523),"",SUMPRODUCT(--(LEFT(D523:I523, 1) = "*"))*50)</f>
        <v/>
      </c>
    </row>
    <row r="524" spans="1:10" ht="27" customHeight="1">
      <c r="A524" s="29"/>
      <c r="B524" s="98" t="str">
        <f t="shared" si="8"/>
        <v/>
      </c>
      <c r="C524" s="29"/>
      <c r="D524" s="29"/>
      <c r="E524" s="29"/>
      <c r="F524" s="29"/>
      <c r="G524" s="29"/>
      <c r="H524" s="29"/>
      <c r="I524" s="29"/>
      <c r="J524" s="98" t="str" cm="1">
        <f t="array" ref="J524">IF(ISBLANK($C524),"",SUMPRODUCT(--(LEFT(D524:I524, 1) = "*"))*50)</f>
        <v/>
      </c>
    </row>
    <row r="525" spans="1:10" ht="27" customHeight="1">
      <c r="A525" s="29"/>
      <c r="B525" s="98" t="str">
        <f t="shared" si="8"/>
        <v/>
      </c>
      <c r="C525" s="29"/>
      <c r="D525" s="29"/>
      <c r="E525" s="29"/>
      <c r="F525" s="29"/>
      <c r="G525" s="29"/>
      <c r="H525" s="29"/>
      <c r="I525" s="29"/>
      <c r="J525" s="98" t="str" cm="1">
        <f t="array" ref="J525">IF(ISBLANK($C525),"",SUMPRODUCT(--(LEFT(D525:I525, 1) = "*"))*50)</f>
        <v/>
      </c>
    </row>
    <row r="526" spans="1:10" ht="27" customHeight="1">
      <c r="A526" s="29"/>
      <c r="B526" s="98" t="str">
        <f t="shared" si="8"/>
        <v/>
      </c>
      <c r="C526" s="29"/>
      <c r="D526" s="29"/>
      <c r="E526" s="29"/>
      <c r="F526" s="29"/>
      <c r="G526" s="29"/>
      <c r="H526" s="29"/>
      <c r="I526" s="29"/>
      <c r="J526" s="98" t="str" cm="1">
        <f t="array" ref="J526">IF(ISBLANK($C526),"",SUMPRODUCT(--(LEFT(D526:I526, 1) = "*"))*50)</f>
        <v/>
      </c>
    </row>
    <row r="527" spans="1:10" ht="27" customHeight="1">
      <c r="A527" s="29"/>
      <c r="B527" s="98" t="str">
        <f t="shared" si="8"/>
        <v/>
      </c>
      <c r="C527" s="29"/>
      <c r="D527" s="29"/>
      <c r="E527" s="29"/>
      <c r="F527" s="29"/>
      <c r="G527" s="29"/>
      <c r="H527" s="29"/>
      <c r="I527" s="29"/>
      <c r="J527" s="98" t="str" cm="1">
        <f t="array" ref="J527">IF(ISBLANK($C527),"",SUMPRODUCT(--(LEFT(D527:I527, 1) = "*"))*50)</f>
        <v/>
      </c>
    </row>
    <row r="528" spans="1:10" ht="27" customHeight="1">
      <c r="A528" s="29"/>
      <c r="B528" s="98" t="str">
        <f t="shared" si="8"/>
        <v/>
      </c>
      <c r="C528" s="29"/>
      <c r="D528" s="29"/>
      <c r="E528" s="29"/>
      <c r="F528" s="29"/>
      <c r="G528" s="29"/>
      <c r="H528" s="29"/>
      <c r="I528" s="29"/>
      <c r="J528" s="98" t="str" cm="1">
        <f t="array" ref="J528">IF(ISBLANK($C528),"",SUMPRODUCT(--(LEFT(D528:I528, 1) = "*"))*50)</f>
        <v/>
      </c>
    </row>
    <row r="529" spans="1:10" ht="27" customHeight="1">
      <c r="A529" s="29"/>
      <c r="B529" s="98" t="str">
        <f t="shared" si="8"/>
        <v/>
      </c>
      <c r="C529" s="29"/>
      <c r="D529" s="29"/>
      <c r="E529" s="29"/>
      <c r="F529" s="29"/>
      <c r="G529" s="29"/>
      <c r="H529" s="29"/>
      <c r="I529" s="29"/>
      <c r="J529" s="98" t="str" cm="1">
        <f t="array" ref="J529">IF(ISBLANK($C529),"",SUMPRODUCT(--(LEFT(D529:I529, 1) = "*"))*50)</f>
        <v/>
      </c>
    </row>
    <row r="530" spans="1:10" ht="27" customHeight="1">
      <c r="A530" s="29"/>
      <c r="B530" s="98" t="str">
        <f t="shared" si="8"/>
        <v/>
      </c>
      <c r="C530" s="29"/>
      <c r="D530" s="29"/>
      <c r="E530" s="29"/>
      <c r="F530" s="29"/>
      <c r="G530" s="29"/>
      <c r="H530" s="29"/>
      <c r="I530" s="29"/>
      <c r="J530" s="98" t="str" cm="1">
        <f t="array" ref="J530">IF(ISBLANK($C530),"",SUMPRODUCT(--(LEFT(D530:I530, 1) = "*"))*50)</f>
        <v/>
      </c>
    </row>
    <row r="531" spans="1:10" ht="27" customHeight="1">
      <c r="A531" s="29"/>
      <c r="B531" s="98" t="str">
        <f t="shared" si="8"/>
        <v/>
      </c>
      <c r="C531" s="29"/>
      <c r="D531" s="29"/>
      <c r="E531" s="29"/>
      <c r="F531" s="29"/>
      <c r="G531" s="29"/>
      <c r="H531" s="29"/>
      <c r="I531" s="29"/>
      <c r="J531" s="98" t="str" cm="1">
        <f t="array" ref="J531">IF(ISBLANK($C531),"",SUMPRODUCT(--(LEFT(D531:I531, 1) = "*"))*50)</f>
        <v/>
      </c>
    </row>
    <row r="532" spans="1:10" ht="27" customHeight="1">
      <c r="A532" s="29"/>
      <c r="B532" s="98" t="str">
        <f t="shared" si="8"/>
        <v/>
      </c>
      <c r="C532" s="29"/>
      <c r="D532" s="29"/>
      <c r="E532" s="29"/>
      <c r="F532" s="29"/>
      <c r="G532" s="29"/>
      <c r="H532" s="29"/>
      <c r="I532" s="29"/>
      <c r="J532" s="98" t="str" cm="1">
        <f t="array" ref="J532">IF(ISBLANK($C532),"",SUMPRODUCT(--(LEFT(D532:I532, 1) = "*"))*50)</f>
        <v/>
      </c>
    </row>
    <row r="533" spans="1:10" ht="27" customHeight="1">
      <c r="A533" s="29"/>
      <c r="B533" s="98" t="str">
        <f t="shared" si="8"/>
        <v/>
      </c>
      <c r="C533" s="29"/>
      <c r="D533" s="29"/>
      <c r="E533" s="29"/>
      <c r="F533" s="29"/>
      <c r="G533" s="29"/>
      <c r="H533" s="29"/>
      <c r="I533" s="29"/>
      <c r="J533" s="98" t="str" cm="1">
        <f t="array" ref="J533">IF(ISBLANK($C533),"",SUMPRODUCT(--(LEFT(D533:I533, 1) = "*"))*50)</f>
        <v/>
      </c>
    </row>
    <row r="534" spans="1:10" ht="27" customHeight="1">
      <c r="A534" s="29"/>
      <c r="B534" s="98" t="str">
        <f t="shared" si="8"/>
        <v/>
      </c>
      <c r="C534" s="29"/>
      <c r="D534" s="29"/>
      <c r="E534" s="29"/>
      <c r="F534" s="29"/>
      <c r="G534" s="29"/>
      <c r="H534" s="29"/>
      <c r="I534" s="29"/>
      <c r="J534" s="98" t="str" cm="1">
        <f t="array" ref="J534">IF(ISBLANK($C534),"",SUMPRODUCT(--(LEFT(D534:I534, 1) = "*"))*50)</f>
        <v/>
      </c>
    </row>
    <row r="535" spans="1:10" ht="27" customHeight="1">
      <c r="A535" s="29"/>
      <c r="B535" s="98" t="str">
        <f t="shared" si="8"/>
        <v/>
      </c>
      <c r="C535" s="29"/>
      <c r="D535" s="29"/>
      <c r="E535" s="29"/>
      <c r="F535" s="29"/>
      <c r="G535" s="29"/>
      <c r="H535" s="29"/>
      <c r="I535" s="29"/>
      <c r="J535" s="98" t="str" cm="1">
        <f t="array" ref="J535">IF(ISBLANK($C535),"",SUMPRODUCT(--(LEFT(D535:I535, 1) = "*"))*50)</f>
        <v/>
      </c>
    </row>
    <row r="536" spans="1:10" ht="27" customHeight="1">
      <c r="A536" s="29"/>
      <c r="B536" s="98" t="str">
        <f t="shared" si="8"/>
        <v/>
      </c>
      <c r="C536" s="29"/>
      <c r="D536" s="29"/>
      <c r="E536" s="29"/>
      <c r="F536" s="29"/>
      <c r="G536" s="29"/>
      <c r="H536" s="29"/>
      <c r="I536" s="29"/>
      <c r="J536" s="98" t="str" cm="1">
        <f t="array" ref="J536">IF(ISBLANK($C536),"",SUMPRODUCT(--(LEFT(D536:I536, 1) = "*"))*50)</f>
        <v/>
      </c>
    </row>
    <row r="537" spans="1:10" ht="27" customHeight="1">
      <c r="A537" s="29"/>
      <c r="B537" s="98" t="str">
        <f t="shared" si="8"/>
        <v/>
      </c>
      <c r="C537" s="29"/>
      <c r="D537" s="29"/>
      <c r="E537" s="29"/>
      <c r="F537" s="29"/>
      <c r="G537" s="29"/>
      <c r="H537" s="29"/>
      <c r="I537" s="29"/>
      <c r="J537" s="98" t="str" cm="1">
        <f t="array" ref="J537">IF(ISBLANK($C537),"",SUMPRODUCT(--(LEFT(D537:I537, 1) = "*"))*50)</f>
        <v/>
      </c>
    </row>
    <row r="538" spans="1:10" ht="27" customHeight="1">
      <c r="A538" s="29"/>
      <c r="B538" s="98" t="str">
        <f t="shared" si="8"/>
        <v/>
      </c>
      <c r="C538" s="29"/>
      <c r="D538" s="29"/>
      <c r="E538" s="29"/>
      <c r="F538" s="29"/>
      <c r="G538" s="29"/>
      <c r="H538" s="29"/>
      <c r="I538" s="29"/>
      <c r="J538" s="98" t="str" cm="1">
        <f t="array" ref="J538">IF(ISBLANK($C538),"",SUMPRODUCT(--(LEFT(D538:I538, 1) = "*"))*50)</f>
        <v/>
      </c>
    </row>
    <row r="539" spans="1:10" ht="27" customHeight="1">
      <c r="A539" s="29"/>
      <c r="B539" s="98" t="str">
        <f t="shared" si="8"/>
        <v/>
      </c>
      <c r="C539" s="29"/>
      <c r="D539" s="29"/>
      <c r="E539" s="29"/>
      <c r="F539" s="29"/>
      <c r="G539" s="29"/>
      <c r="H539" s="29"/>
      <c r="I539" s="29"/>
      <c r="J539" s="98" t="str" cm="1">
        <f t="array" ref="J539">IF(ISBLANK($C539),"",SUMPRODUCT(--(LEFT(D539:I539, 1) = "*"))*50)</f>
        <v/>
      </c>
    </row>
    <row r="540" spans="1:10" ht="27" customHeight="1">
      <c r="A540" s="29"/>
      <c r="B540" s="98" t="str">
        <f t="shared" si="8"/>
        <v/>
      </c>
      <c r="C540" s="29"/>
      <c r="D540" s="29"/>
      <c r="E540" s="29"/>
      <c r="F540" s="29"/>
      <c r="G540" s="29"/>
      <c r="H540" s="29"/>
      <c r="I540" s="29"/>
      <c r="J540" s="98" t="str" cm="1">
        <f t="array" ref="J540">IF(ISBLANK($C540),"",SUMPRODUCT(--(LEFT(D540:I540, 1) = "*"))*50)</f>
        <v/>
      </c>
    </row>
    <row r="541" spans="1:10" ht="27" customHeight="1">
      <c r="A541" s="29"/>
      <c r="B541" s="98" t="str">
        <f t="shared" si="8"/>
        <v/>
      </c>
      <c r="C541" s="29"/>
      <c r="D541" s="29"/>
      <c r="E541" s="29"/>
      <c r="F541" s="29"/>
      <c r="G541" s="29"/>
      <c r="H541" s="29"/>
      <c r="I541" s="29"/>
      <c r="J541" s="98" t="str" cm="1">
        <f t="array" ref="J541">IF(ISBLANK($C541),"",SUMPRODUCT(--(LEFT(D541:I541, 1) = "*"))*50)</f>
        <v/>
      </c>
    </row>
    <row r="542" spans="1:10" ht="27" customHeight="1">
      <c r="A542" s="29"/>
      <c r="B542" s="98" t="str">
        <f t="shared" si="8"/>
        <v/>
      </c>
      <c r="C542" s="29"/>
      <c r="D542" s="29"/>
      <c r="E542" s="29"/>
      <c r="F542" s="29"/>
      <c r="G542" s="29"/>
      <c r="H542" s="29"/>
      <c r="I542" s="29"/>
      <c r="J542" s="98" t="str" cm="1">
        <f t="array" ref="J542">IF(ISBLANK($C542),"",SUMPRODUCT(--(LEFT(D542:I542, 1) = "*"))*50)</f>
        <v/>
      </c>
    </row>
    <row r="543" spans="1:10" ht="27" customHeight="1">
      <c r="A543" s="29"/>
      <c r="B543" s="98" t="str">
        <f t="shared" si="8"/>
        <v/>
      </c>
      <c r="C543" s="29"/>
      <c r="D543" s="29"/>
      <c r="E543" s="29"/>
      <c r="F543" s="29"/>
      <c r="G543" s="29"/>
      <c r="H543" s="29"/>
      <c r="I543" s="29"/>
      <c r="J543" s="98" t="str" cm="1">
        <f t="array" ref="J543">IF(ISBLANK($C543),"",SUMPRODUCT(--(LEFT(D543:I543, 1) = "*"))*50)</f>
        <v/>
      </c>
    </row>
    <row r="544" spans="1:10" ht="27" customHeight="1">
      <c r="A544" s="29"/>
      <c r="B544" s="98" t="str">
        <f t="shared" si="8"/>
        <v/>
      </c>
      <c r="C544" s="29"/>
      <c r="D544" s="29"/>
      <c r="E544" s="29"/>
      <c r="F544" s="29"/>
      <c r="G544" s="29"/>
      <c r="H544" s="29"/>
      <c r="I544" s="29"/>
      <c r="J544" s="98" t="str" cm="1">
        <f t="array" ref="J544">IF(ISBLANK($C544),"",SUMPRODUCT(--(LEFT(D544:I544, 1) = "*"))*50)</f>
        <v/>
      </c>
    </row>
    <row r="545" spans="1:10" ht="27" customHeight="1">
      <c r="A545" s="29"/>
      <c r="B545" s="98" t="str">
        <f t="shared" si="8"/>
        <v/>
      </c>
      <c r="C545" s="29"/>
      <c r="D545" s="29"/>
      <c r="E545" s="29"/>
      <c r="F545" s="29"/>
      <c r="G545" s="29"/>
      <c r="H545" s="29"/>
      <c r="I545" s="29"/>
      <c r="J545" s="98" t="str" cm="1">
        <f t="array" ref="J545">IF(ISBLANK($C545),"",SUMPRODUCT(--(LEFT(D545:I545, 1) = "*"))*50)</f>
        <v/>
      </c>
    </row>
    <row r="546" spans="1:10" ht="27" customHeight="1">
      <c r="A546" s="29"/>
      <c r="B546" s="98" t="str">
        <f t="shared" si="8"/>
        <v/>
      </c>
      <c r="C546" s="29"/>
      <c r="D546" s="29"/>
      <c r="E546" s="29"/>
      <c r="F546" s="29"/>
      <c r="G546" s="29"/>
      <c r="H546" s="29"/>
      <c r="I546" s="29"/>
      <c r="J546" s="98" t="str" cm="1">
        <f t="array" ref="J546">IF(ISBLANK($C546),"",SUMPRODUCT(--(LEFT(D546:I546, 1) = "*"))*50)</f>
        <v/>
      </c>
    </row>
    <row r="547" spans="1:10" ht="27" customHeight="1">
      <c r="A547" s="29"/>
      <c r="B547" s="98" t="str">
        <f t="shared" si="8"/>
        <v/>
      </c>
      <c r="C547" s="29"/>
      <c r="D547" s="29"/>
      <c r="E547" s="29"/>
      <c r="F547" s="29"/>
      <c r="G547" s="29"/>
      <c r="H547" s="29"/>
      <c r="I547" s="29"/>
      <c r="J547" s="98" t="str" cm="1">
        <f t="array" ref="J547">IF(ISBLANK($C547),"",SUMPRODUCT(--(LEFT(D547:I547, 1) = "*"))*50)</f>
        <v/>
      </c>
    </row>
    <row r="548" spans="1:10" ht="27" customHeight="1">
      <c r="A548" s="29"/>
      <c r="B548" s="98" t="str">
        <f t="shared" si="8"/>
        <v/>
      </c>
      <c r="C548" s="29"/>
      <c r="D548" s="29"/>
      <c r="E548" s="29"/>
      <c r="F548" s="29"/>
      <c r="G548" s="29"/>
      <c r="H548" s="29"/>
      <c r="I548" s="29"/>
      <c r="J548" s="98" t="str" cm="1">
        <f t="array" ref="J548">IF(ISBLANK($C548),"",SUMPRODUCT(--(LEFT(D548:I548, 1) = "*"))*50)</f>
        <v/>
      </c>
    </row>
    <row r="549" spans="1:10" ht="27" customHeight="1">
      <c r="A549" s="29"/>
      <c r="B549" s="98" t="str">
        <f t="shared" si="8"/>
        <v/>
      </c>
      <c r="C549" s="29"/>
      <c r="D549" s="29"/>
      <c r="E549" s="29"/>
      <c r="F549" s="29"/>
      <c r="G549" s="29"/>
      <c r="H549" s="29"/>
      <c r="I549" s="29"/>
      <c r="J549" s="98" t="str" cm="1">
        <f t="array" ref="J549">IF(ISBLANK($C549),"",SUMPRODUCT(--(LEFT(D549:I549, 1) = "*"))*50)</f>
        <v/>
      </c>
    </row>
    <row r="550" spans="1:10" ht="27" customHeight="1">
      <c r="A550" s="29"/>
      <c r="B550" s="98" t="str">
        <f t="shared" si="8"/>
        <v/>
      </c>
      <c r="C550" s="29"/>
      <c r="D550" s="29"/>
      <c r="E550" s="29"/>
      <c r="F550" s="29"/>
      <c r="G550" s="29"/>
      <c r="H550" s="29"/>
      <c r="I550" s="29"/>
      <c r="J550" s="98" t="str" cm="1">
        <f t="array" ref="J550">IF(ISBLANK($C550),"",SUMPRODUCT(--(LEFT(D550:I550, 1) = "*"))*50)</f>
        <v/>
      </c>
    </row>
    <row r="551" spans="1:10" ht="27" customHeight="1">
      <c r="A551" s="29"/>
      <c r="B551" s="98" t="str">
        <f t="shared" si="8"/>
        <v/>
      </c>
      <c r="C551" s="29"/>
      <c r="D551" s="29"/>
      <c r="E551" s="29"/>
      <c r="F551" s="29"/>
      <c r="G551" s="29"/>
      <c r="H551" s="29"/>
      <c r="I551" s="29"/>
      <c r="J551" s="98" t="str" cm="1">
        <f t="array" ref="J551">IF(ISBLANK($C551),"",SUMPRODUCT(--(LEFT(D551:I551, 1) = "*"))*50)</f>
        <v/>
      </c>
    </row>
    <row r="552" spans="1:10" ht="27" customHeight="1">
      <c r="A552" s="29"/>
      <c r="B552" s="98" t="str">
        <f t="shared" si="8"/>
        <v/>
      </c>
      <c r="C552" s="29"/>
      <c r="D552" s="29"/>
      <c r="E552" s="29"/>
      <c r="F552" s="29"/>
      <c r="G552" s="29"/>
      <c r="H552" s="29"/>
      <c r="I552" s="29"/>
      <c r="J552" s="98" t="str" cm="1">
        <f t="array" ref="J552">IF(ISBLANK($C552),"",SUMPRODUCT(--(LEFT(D552:I552, 1) = "*"))*50)</f>
        <v/>
      </c>
    </row>
    <row r="553" spans="1:10" ht="27" customHeight="1">
      <c r="A553" s="29"/>
      <c r="B553" s="98" t="str">
        <f t="shared" si="8"/>
        <v/>
      </c>
      <c r="C553" s="29"/>
      <c r="D553" s="29"/>
      <c r="E553" s="29"/>
      <c r="F553" s="29"/>
      <c r="G553" s="29"/>
      <c r="H553" s="29"/>
      <c r="I553" s="29"/>
      <c r="J553" s="98" t="str" cm="1">
        <f t="array" ref="J553">IF(ISBLANK($C553),"",SUMPRODUCT(--(LEFT(D553:I553, 1) = "*"))*50)</f>
        <v/>
      </c>
    </row>
    <row r="554" spans="1:10" ht="27" customHeight="1">
      <c r="A554" s="29"/>
      <c r="B554" s="98" t="str">
        <f t="shared" si="8"/>
        <v/>
      </c>
      <c r="C554" s="29"/>
      <c r="D554" s="29"/>
      <c r="E554" s="29"/>
      <c r="F554" s="29"/>
      <c r="G554" s="29"/>
      <c r="H554" s="29"/>
      <c r="I554" s="29"/>
      <c r="J554" s="98" t="str" cm="1">
        <f t="array" ref="J554">IF(ISBLANK($C554),"",SUMPRODUCT(--(LEFT(D554:I554, 1) = "*"))*50)</f>
        <v/>
      </c>
    </row>
    <row r="555" spans="1:10" ht="27" customHeight="1">
      <c r="A555" s="29"/>
      <c r="B555" s="98" t="str">
        <f t="shared" si="8"/>
        <v/>
      </c>
      <c r="C555" s="29"/>
      <c r="D555" s="29"/>
      <c r="E555" s="29"/>
      <c r="F555" s="29"/>
      <c r="G555" s="29"/>
      <c r="H555" s="29"/>
      <c r="I555" s="29"/>
      <c r="J555" s="98" t="str" cm="1">
        <f t="array" ref="J555">IF(ISBLANK($C555),"",SUMPRODUCT(--(LEFT(D555:I555, 1) = "*"))*50)</f>
        <v/>
      </c>
    </row>
    <row r="556" spans="1:10" ht="27" customHeight="1">
      <c r="A556" s="29"/>
      <c r="B556" s="98" t="str">
        <f t="shared" si="8"/>
        <v/>
      </c>
      <c r="C556" s="29"/>
      <c r="D556" s="29"/>
      <c r="E556" s="29"/>
      <c r="F556" s="29"/>
      <c r="G556" s="29"/>
      <c r="H556" s="29"/>
      <c r="I556" s="29"/>
      <c r="J556" s="98" t="str" cm="1">
        <f t="array" ref="J556">IF(ISBLANK($C556),"",SUMPRODUCT(--(LEFT(D556:I556, 1) = "*"))*50)</f>
        <v/>
      </c>
    </row>
    <row r="557" spans="1:10" ht="27" customHeight="1">
      <c r="A557" s="29"/>
      <c r="B557" s="98" t="str">
        <f t="shared" si="8"/>
        <v/>
      </c>
      <c r="C557" s="29"/>
      <c r="D557" s="29"/>
      <c r="E557" s="29"/>
      <c r="F557" s="29"/>
      <c r="G557" s="29"/>
      <c r="H557" s="29"/>
      <c r="I557" s="29"/>
      <c r="J557" s="98" t="str" cm="1">
        <f t="array" ref="J557">IF(ISBLANK($C557),"",SUMPRODUCT(--(LEFT(D557:I557, 1) = "*"))*50)</f>
        <v/>
      </c>
    </row>
    <row r="558" spans="1:10" ht="27" customHeight="1">
      <c r="A558" s="29"/>
      <c r="B558" s="98" t="str">
        <f t="shared" si="8"/>
        <v/>
      </c>
      <c r="C558" s="29"/>
      <c r="D558" s="29"/>
      <c r="E558" s="29"/>
      <c r="F558" s="29"/>
      <c r="G558" s="29"/>
      <c r="H558" s="29"/>
      <c r="I558" s="29"/>
      <c r="J558" s="98" t="str" cm="1">
        <f t="array" ref="J558">IF(ISBLANK($C558),"",SUMPRODUCT(--(LEFT(D558:I558, 1) = "*"))*50)</f>
        <v/>
      </c>
    </row>
    <row r="559" spans="1:10" ht="27" customHeight="1">
      <c r="A559" s="29"/>
      <c r="B559" s="98" t="str">
        <f t="shared" si="8"/>
        <v/>
      </c>
      <c r="C559" s="29"/>
      <c r="D559" s="29"/>
      <c r="E559" s="29"/>
      <c r="F559" s="29"/>
      <c r="G559" s="29"/>
      <c r="H559" s="29"/>
      <c r="I559" s="29"/>
      <c r="J559" s="98" t="str" cm="1">
        <f t="array" ref="J559">IF(ISBLANK($C559),"",SUMPRODUCT(--(LEFT(D559:I559, 1) = "*"))*50)</f>
        <v/>
      </c>
    </row>
    <row r="560" spans="1:10" ht="27" customHeight="1">
      <c r="A560" s="29"/>
      <c r="B560" s="98" t="str">
        <f t="shared" si="8"/>
        <v/>
      </c>
      <c r="C560" s="29"/>
      <c r="D560" s="29"/>
      <c r="E560" s="29"/>
      <c r="F560" s="29"/>
      <c r="G560" s="29"/>
      <c r="H560" s="29"/>
      <c r="I560" s="29"/>
      <c r="J560" s="98" t="str" cm="1">
        <f t="array" ref="J560">IF(ISBLANK($C560),"",SUMPRODUCT(--(LEFT(D560:I560, 1) = "*"))*50)</f>
        <v/>
      </c>
    </row>
    <row r="561" spans="1:10" ht="27" customHeight="1">
      <c r="A561" s="29"/>
      <c r="B561" s="98" t="str">
        <f t="shared" si="8"/>
        <v/>
      </c>
      <c r="C561" s="29"/>
      <c r="D561" s="29"/>
      <c r="E561" s="29"/>
      <c r="F561" s="29"/>
      <c r="G561" s="29"/>
      <c r="H561" s="29"/>
      <c r="I561" s="29"/>
      <c r="J561" s="98" t="str" cm="1">
        <f t="array" ref="J561">IF(ISBLANK($C561),"",SUMPRODUCT(--(LEFT(D561:I561, 1) = "*"))*50)</f>
        <v/>
      </c>
    </row>
    <row r="562" spans="1:10" ht="27" customHeight="1">
      <c r="A562" s="29"/>
      <c r="B562" s="98" t="str">
        <f t="shared" si="8"/>
        <v/>
      </c>
      <c r="C562" s="29"/>
      <c r="D562" s="29"/>
      <c r="E562" s="29"/>
      <c r="F562" s="29"/>
      <c r="G562" s="29"/>
      <c r="H562" s="29"/>
      <c r="I562" s="29"/>
      <c r="J562" s="98" t="str" cm="1">
        <f t="array" ref="J562">IF(ISBLANK($C562),"",SUMPRODUCT(--(LEFT(D562:I562, 1) = "*"))*50)</f>
        <v/>
      </c>
    </row>
    <row r="563" spans="1:10" ht="27" customHeight="1">
      <c r="A563" s="29"/>
      <c r="B563" s="98" t="str">
        <f t="shared" si="8"/>
        <v/>
      </c>
      <c r="C563" s="29"/>
      <c r="D563" s="29"/>
      <c r="E563" s="29"/>
      <c r="F563" s="29"/>
      <c r="G563" s="29"/>
      <c r="H563" s="29"/>
      <c r="I563" s="29"/>
      <c r="J563" s="98" t="str" cm="1">
        <f t="array" ref="J563">IF(ISBLANK($C563),"",SUMPRODUCT(--(LEFT(D563:I563, 1) = "*"))*50)</f>
        <v/>
      </c>
    </row>
    <row r="564" spans="1:10" ht="27" customHeight="1">
      <c r="A564" s="29"/>
      <c r="B564" s="98" t="str">
        <f t="shared" si="8"/>
        <v/>
      </c>
      <c r="C564" s="29"/>
      <c r="D564" s="29"/>
      <c r="E564" s="29"/>
      <c r="F564" s="29"/>
      <c r="G564" s="29"/>
      <c r="H564" s="29"/>
      <c r="I564" s="29"/>
      <c r="J564" s="98" t="str" cm="1">
        <f t="array" ref="J564">IF(ISBLANK($C564),"",SUMPRODUCT(--(LEFT(D564:I564, 1) = "*"))*50)</f>
        <v/>
      </c>
    </row>
    <row r="565" spans="1:10" ht="27" customHeight="1">
      <c r="A565" s="29"/>
      <c r="B565" s="98" t="str">
        <f t="shared" si="8"/>
        <v/>
      </c>
      <c r="C565" s="29"/>
      <c r="D565" s="29"/>
      <c r="E565" s="29"/>
      <c r="F565" s="29"/>
      <c r="G565" s="29"/>
      <c r="H565" s="29"/>
      <c r="I565" s="29"/>
      <c r="J565" s="98" t="str" cm="1">
        <f t="array" ref="J565">IF(ISBLANK($C565),"",SUMPRODUCT(--(LEFT(D565:I565, 1) = "*"))*50)</f>
        <v/>
      </c>
    </row>
    <row r="566" spans="1:10" ht="27" customHeight="1">
      <c r="A566" s="29"/>
      <c r="B566" s="98" t="str">
        <f t="shared" si="8"/>
        <v/>
      </c>
      <c r="C566" s="29"/>
      <c r="D566" s="29"/>
      <c r="E566" s="29"/>
      <c r="F566" s="29"/>
      <c r="G566" s="29"/>
      <c r="H566" s="29"/>
      <c r="I566" s="29"/>
      <c r="J566" s="98" t="str" cm="1">
        <f t="array" ref="J566">IF(ISBLANK($C566),"",SUMPRODUCT(--(LEFT(D566:I566, 1) = "*"))*50)</f>
        <v/>
      </c>
    </row>
    <row r="567" spans="1:10" ht="27" customHeight="1">
      <c r="A567" s="29"/>
      <c r="B567" s="98" t="str">
        <f t="shared" si="8"/>
        <v/>
      </c>
      <c r="C567" s="29"/>
      <c r="D567" s="29"/>
      <c r="E567" s="29"/>
      <c r="F567" s="29"/>
      <c r="G567" s="29"/>
      <c r="H567" s="29"/>
      <c r="I567" s="29"/>
      <c r="J567" s="98" t="str" cm="1">
        <f t="array" ref="J567">IF(ISBLANK($C567),"",SUMPRODUCT(--(LEFT(D567:I567, 1) = "*"))*50)</f>
        <v/>
      </c>
    </row>
    <row r="568" spans="1:10" ht="27" customHeight="1">
      <c r="A568" s="29"/>
      <c r="B568" s="98" t="str">
        <f t="shared" si="8"/>
        <v/>
      </c>
      <c r="C568" s="29"/>
      <c r="D568" s="29"/>
      <c r="E568" s="29"/>
      <c r="F568" s="29"/>
      <c r="G568" s="29"/>
      <c r="H568" s="29"/>
      <c r="I568" s="29"/>
      <c r="J568" s="98" t="str" cm="1">
        <f t="array" ref="J568">IF(ISBLANK($C568),"",SUMPRODUCT(--(LEFT(D568:I568, 1) = "*"))*50)</f>
        <v/>
      </c>
    </row>
    <row r="569" spans="1:10" ht="27" customHeight="1">
      <c r="A569" s="29"/>
      <c r="B569" s="98" t="str">
        <f t="shared" si="8"/>
        <v/>
      </c>
      <c r="C569" s="29"/>
      <c r="D569" s="29"/>
      <c r="E569" s="29"/>
      <c r="F569" s="29"/>
      <c r="G569" s="29"/>
      <c r="H569" s="29"/>
      <c r="I569" s="29"/>
      <c r="J569" s="98" t="str" cm="1">
        <f t="array" ref="J569">IF(ISBLANK($C569),"",SUMPRODUCT(--(LEFT(D569:I569, 1) = "*"))*50)</f>
        <v/>
      </c>
    </row>
    <row r="570" spans="1:10" ht="27" customHeight="1">
      <c r="A570" s="29"/>
      <c r="B570" s="98" t="str">
        <f t="shared" si="8"/>
        <v/>
      </c>
      <c r="C570" s="29"/>
      <c r="D570" s="29"/>
      <c r="E570" s="29"/>
      <c r="F570" s="29"/>
      <c r="G570" s="29"/>
      <c r="H570" s="29"/>
      <c r="I570" s="29"/>
      <c r="J570" s="98" t="str" cm="1">
        <f t="array" ref="J570">IF(ISBLANK($C570),"",SUMPRODUCT(--(LEFT(D570:I570, 1) = "*"))*50)</f>
        <v/>
      </c>
    </row>
    <row r="571" spans="1:10" ht="27" customHeight="1">
      <c r="A571" s="29"/>
      <c r="B571" s="98" t="str">
        <f t="shared" si="8"/>
        <v/>
      </c>
      <c r="C571" s="29"/>
      <c r="D571" s="29"/>
      <c r="E571" s="29"/>
      <c r="F571" s="29"/>
      <c r="G571" s="29"/>
      <c r="H571" s="29"/>
      <c r="I571" s="29"/>
      <c r="J571" s="98" t="str" cm="1">
        <f t="array" ref="J571">IF(ISBLANK($C571),"",SUMPRODUCT(--(LEFT(D571:I571, 1) = "*"))*50)</f>
        <v/>
      </c>
    </row>
    <row r="572" spans="1:10" ht="27" customHeight="1">
      <c r="A572" s="29"/>
      <c r="B572" s="98" t="str">
        <f t="shared" si="8"/>
        <v/>
      </c>
      <c r="C572" s="29"/>
      <c r="D572" s="29"/>
      <c r="E572" s="29"/>
      <c r="F572" s="29"/>
      <c r="G572" s="29"/>
      <c r="H572" s="29"/>
      <c r="I572" s="29"/>
      <c r="J572" s="98" t="str" cm="1">
        <f t="array" ref="J572">IF(ISBLANK($C572),"",SUMPRODUCT(--(LEFT(D572:I572, 1) = "*"))*50)</f>
        <v/>
      </c>
    </row>
    <row r="573" spans="1:10" ht="27" customHeight="1">
      <c r="A573" s="29"/>
      <c r="B573" s="98" t="str">
        <f t="shared" si="8"/>
        <v/>
      </c>
      <c r="C573" s="29"/>
      <c r="D573" s="29"/>
      <c r="E573" s="29"/>
      <c r="F573" s="29"/>
      <c r="G573" s="29"/>
      <c r="H573" s="29"/>
      <c r="I573" s="29"/>
      <c r="J573" s="98" t="str" cm="1">
        <f t="array" ref="J573">IF(ISBLANK($C573),"",SUMPRODUCT(--(LEFT(D573:I573, 1) = "*"))*50)</f>
        <v/>
      </c>
    </row>
    <row r="574" spans="1:10" ht="27" customHeight="1">
      <c r="A574" s="29"/>
      <c r="B574" s="98" t="str">
        <f t="shared" si="8"/>
        <v/>
      </c>
      <c r="C574" s="29"/>
      <c r="D574" s="29"/>
      <c r="E574" s="29"/>
      <c r="F574" s="29"/>
      <c r="G574" s="29"/>
      <c r="H574" s="29"/>
      <c r="I574" s="29"/>
      <c r="J574" s="98" t="str" cm="1">
        <f t="array" ref="J574">IF(ISBLANK($C574),"",SUMPRODUCT(--(LEFT(D574:I574, 1) = "*"))*50)</f>
        <v/>
      </c>
    </row>
    <row r="575" spans="1:10" ht="27" customHeight="1">
      <c r="A575" s="29"/>
      <c r="B575" s="98" t="str">
        <f t="shared" si="8"/>
        <v/>
      </c>
      <c r="C575" s="29"/>
      <c r="D575" s="29"/>
      <c r="E575" s="29"/>
      <c r="F575" s="29"/>
      <c r="G575" s="29"/>
      <c r="H575" s="29"/>
      <c r="I575" s="29"/>
      <c r="J575" s="98" t="str" cm="1">
        <f t="array" ref="J575">IF(ISBLANK($C575),"",SUMPRODUCT(--(LEFT(D575:I575, 1) = "*"))*50)</f>
        <v/>
      </c>
    </row>
    <row r="576" spans="1:10" ht="27" customHeight="1">
      <c r="A576" s="29"/>
      <c r="B576" s="98" t="str">
        <f t="shared" si="8"/>
        <v/>
      </c>
      <c r="C576" s="29"/>
      <c r="D576" s="29"/>
      <c r="E576" s="29"/>
      <c r="F576" s="29"/>
      <c r="G576" s="29"/>
      <c r="H576" s="29"/>
      <c r="I576" s="29"/>
      <c r="J576" s="98" t="str" cm="1">
        <f t="array" ref="J576">IF(ISBLANK($C576),"",SUMPRODUCT(--(LEFT(D576:I576, 1) = "*"))*50)</f>
        <v/>
      </c>
    </row>
    <row r="577" spans="1:10" ht="27" customHeight="1">
      <c r="A577" s="29"/>
      <c r="B577" s="98" t="str">
        <f t="shared" si="8"/>
        <v/>
      </c>
      <c r="C577" s="29"/>
      <c r="D577" s="29"/>
      <c r="E577" s="29"/>
      <c r="F577" s="29"/>
      <c r="G577" s="29"/>
      <c r="H577" s="29"/>
      <c r="I577" s="29"/>
      <c r="J577" s="98" t="str" cm="1">
        <f t="array" ref="J577">IF(ISBLANK($C577),"",SUMPRODUCT(--(LEFT(D577:I577, 1) = "*"))*50)</f>
        <v/>
      </c>
    </row>
    <row r="578" spans="1:10" ht="27" customHeight="1">
      <c r="A578" s="29"/>
      <c r="B578" s="98" t="str">
        <f t="shared" si="8"/>
        <v/>
      </c>
      <c r="C578" s="29"/>
      <c r="D578" s="29"/>
      <c r="E578" s="29"/>
      <c r="F578" s="29"/>
      <c r="G578" s="29"/>
      <c r="H578" s="29"/>
      <c r="I578" s="29"/>
      <c r="J578" s="98" t="str" cm="1">
        <f t="array" ref="J578">IF(ISBLANK($C578),"",SUMPRODUCT(--(LEFT(D578:I578, 1) = "*"))*50)</f>
        <v/>
      </c>
    </row>
    <row r="579" spans="1:10" ht="27" customHeight="1">
      <c r="A579" s="29"/>
      <c r="B579" s="98" t="str">
        <f t="shared" ref="B579:B642" si="9">IF(ISBLANK($C579),"","MCQ")</f>
        <v/>
      </c>
      <c r="C579" s="29"/>
      <c r="D579" s="29"/>
      <c r="E579" s="29"/>
      <c r="F579" s="29"/>
      <c r="G579" s="29"/>
      <c r="H579" s="29"/>
      <c r="I579" s="29"/>
      <c r="J579" s="98" t="str" cm="1">
        <f t="array" ref="J579">IF(ISBLANK($C579),"",SUMPRODUCT(--(LEFT(D579:I579, 1) = "*"))*50)</f>
        <v/>
      </c>
    </row>
    <row r="580" spans="1:10" ht="27" customHeight="1">
      <c r="A580" s="29"/>
      <c r="B580" s="98" t="str">
        <f t="shared" si="9"/>
        <v/>
      </c>
      <c r="C580" s="29"/>
      <c r="D580" s="29"/>
      <c r="E580" s="29"/>
      <c r="F580" s="29"/>
      <c r="G580" s="29"/>
      <c r="H580" s="29"/>
      <c r="I580" s="29"/>
      <c r="J580" s="98" t="str" cm="1">
        <f t="array" ref="J580">IF(ISBLANK($C580),"",SUMPRODUCT(--(LEFT(D580:I580, 1) = "*"))*50)</f>
        <v/>
      </c>
    </row>
    <row r="581" spans="1:10" ht="27" customHeight="1">
      <c r="A581" s="29"/>
      <c r="B581" s="98" t="str">
        <f t="shared" si="9"/>
        <v/>
      </c>
      <c r="C581" s="29"/>
      <c r="D581" s="29"/>
      <c r="E581" s="29"/>
      <c r="F581" s="29"/>
      <c r="G581" s="29"/>
      <c r="H581" s="29"/>
      <c r="I581" s="29"/>
      <c r="J581" s="98" t="str" cm="1">
        <f t="array" ref="J581">IF(ISBLANK($C581),"",SUMPRODUCT(--(LEFT(D581:I581, 1) = "*"))*50)</f>
        <v/>
      </c>
    </row>
    <row r="582" spans="1:10" ht="27" customHeight="1">
      <c r="A582" s="29"/>
      <c r="B582" s="98" t="str">
        <f t="shared" si="9"/>
        <v/>
      </c>
      <c r="C582" s="29"/>
      <c r="D582" s="29"/>
      <c r="E582" s="29"/>
      <c r="F582" s="29"/>
      <c r="G582" s="29"/>
      <c r="H582" s="29"/>
      <c r="I582" s="29"/>
      <c r="J582" s="98" t="str" cm="1">
        <f t="array" ref="J582">IF(ISBLANK($C582),"",SUMPRODUCT(--(LEFT(D582:I582, 1) = "*"))*50)</f>
        <v/>
      </c>
    </row>
    <row r="583" spans="1:10" ht="27" customHeight="1">
      <c r="A583" s="29"/>
      <c r="B583" s="98" t="str">
        <f t="shared" si="9"/>
        <v/>
      </c>
      <c r="C583" s="29"/>
      <c r="D583" s="29"/>
      <c r="E583" s="29"/>
      <c r="F583" s="29"/>
      <c r="G583" s="29"/>
      <c r="H583" s="29"/>
      <c r="I583" s="29"/>
      <c r="J583" s="98" t="str" cm="1">
        <f t="array" ref="J583">IF(ISBLANK($C583),"",SUMPRODUCT(--(LEFT(D583:I583, 1) = "*"))*50)</f>
        <v/>
      </c>
    </row>
    <row r="584" spans="1:10" ht="27" customHeight="1">
      <c r="A584" s="29"/>
      <c r="B584" s="98" t="str">
        <f t="shared" si="9"/>
        <v/>
      </c>
      <c r="C584" s="29"/>
      <c r="D584" s="29"/>
      <c r="E584" s="29"/>
      <c r="F584" s="29"/>
      <c r="G584" s="29"/>
      <c r="H584" s="29"/>
      <c r="I584" s="29"/>
      <c r="J584" s="98" t="str" cm="1">
        <f t="array" ref="J584">IF(ISBLANK($C584),"",SUMPRODUCT(--(LEFT(D584:I584, 1) = "*"))*50)</f>
        <v/>
      </c>
    </row>
    <row r="585" spans="1:10" ht="27" customHeight="1">
      <c r="A585" s="29"/>
      <c r="B585" s="98" t="str">
        <f t="shared" si="9"/>
        <v/>
      </c>
      <c r="C585" s="29"/>
      <c r="D585" s="29"/>
      <c r="E585" s="29"/>
      <c r="F585" s="29"/>
      <c r="G585" s="29"/>
      <c r="H585" s="29"/>
      <c r="I585" s="29"/>
      <c r="J585" s="98" t="str" cm="1">
        <f t="array" ref="J585">IF(ISBLANK($C585),"",SUMPRODUCT(--(LEFT(D585:I585, 1) = "*"))*50)</f>
        <v/>
      </c>
    </row>
    <row r="586" spans="1:10" ht="27" customHeight="1">
      <c r="A586" s="29"/>
      <c r="B586" s="98" t="str">
        <f t="shared" si="9"/>
        <v/>
      </c>
      <c r="C586" s="29"/>
      <c r="D586" s="29"/>
      <c r="E586" s="29"/>
      <c r="F586" s="29"/>
      <c r="G586" s="29"/>
      <c r="H586" s="29"/>
      <c r="I586" s="29"/>
      <c r="J586" s="98" t="str" cm="1">
        <f t="array" ref="J586">IF(ISBLANK($C586),"",SUMPRODUCT(--(LEFT(D586:I586, 1) = "*"))*50)</f>
        <v/>
      </c>
    </row>
    <row r="587" spans="1:10" ht="27" customHeight="1">
      <c r="A587" s="29"/>
      <c r="B587" s="98" t="str">
        <f t="shared" si="9"/>
        <v/>
      </c>
      <c r="C587" s="29"/>
      <c r="D587" s="29"/>
      <c r="E587" s="29"/>
      <c r="F587" s="29"/>
      <c r="G587" s="29"/>
      <c r="H587" s="29"/>
      <c r="I587" s="29"/>
      <c r="J587" s="98" t="str" cm="1">
        <f t="array" ref="J587">IF(ISBLANK($C587),"",SUMPRODUCT(--(LEFT(D587:I587, 1) = "*"))*50)</f>
        <v/>
      </c>
    </row>
    <row r="588" spans="1:10" ht="27" customHeight="1">
      <c r="A588" s="29"/>
      <c r="B588" s="98" t="str">
        <f t="shared" si="9"/>
        <v/>
      </c>
      <c r="C588" s="29"/>
      <c r="D588" s="29"/>
      <c r="E588" s="29"/>
      <c r="F588" s="29"/>
      <c r="G588" s="29"/>
      <c r="H588" s="29"/>
      <c r="I588" s="29"/>
      <c r="J588" s="98" t="str" cm="1">
        <f t="array" ref="J588">IF(ISBLANK($C588),"",SUMPRODUCT(--(LEFT(D588:I588, 1) = "*"))*50)</f>
        <v/>
      </c>
    </row>
    <row r="589" spans="1:10" ht="27" customHeight="1">
      <c r="A589" s="29"/>
      <c r="B589" s="98" t="str">
        <f t="shared" si="9"/>
        <v/>
      </c>
      <c r="C589" s="29"/>
      <c r="D589" s="29"/>
      <c r="E589" s="29"/>
      <c r="F589" s="29"/>
      <c r="G589" s="29"/>
      <c r="H589" s="29"/>
      <c r="I589" s="29"/>
      <c r="J589" s="98" t="str" cm="1">
        <f t="array" ref="J589">IF(ISBLANK($C589),"",SUMPRODUCT(--(LEFT(D589:I589, 1) = "*"))*50)</f>
        <v/>
      </c>
    </row>
    <row r="590" spans="1:10" ht="27" customHeight="1">
      <c r="A590" s="29"/>
      <c r="B590" s="98" t="str">
        <f t="shared" si="9"/>
        <v/>
      </c>
      <c r="C590" s="29"/>
      <c r="D590" s="29"/>
      <c r="E590" s="29"/>
      <c r="F590" s="29"/>
      <c r="G590" s="29"/>
      <c r="H590" s="29"/>
      <c r="I590" s="29"/>
      <c r="J590" s="98" t="str" cm="1">
        <f t="array" ref="J590">IF(ISBLANK($C590),"",SUMPRODUCT(--(LEFT(D590:I590, 1) = "*"))*50)</f>
        <v/>
      </c>
    </row>
    <row r="591" spans="1:10" ht="27" customHeight="1">
      <c r="A591" s="29"/>
      <c r="B591" s="98" t="str">
        <f t="shared" si="9"/>
        <v/>
      </c>
      <c r="C591" s="29"/>
      <c r="D591" s="29"/>
      <c r="E591" s="29"/>
      <c r="F591" s="29"/>
      <c r="G591" s="29"/>
      <c r="H591" s="29"/>
      <c r="I591" s="29"/>
      <c r="J591" s="98" t="str" cm="1">
        <f t="array" ref="J591">IF(ISBLANK($C591),"",SUMPRODUCT(--(LEFT(D591:I591, 1) = "*"))*50)</f>
        <v/>
      </c>
    </row>
    <row r="592" spans="1:10" ht="27" customHeight="1">
      <c r="A592" s="29"/>
      <c r="B592" s="98" t="str">
        <f t="shared" si="9"/>
        <v/>
      </c>
      <c r="C592" s="29"/>
      <c r="D592" s="29"/>
      <c r="E592" s="29"/>
      <c r="F592" s="29"/>
      <c r="G592" s="29"/>
      <c r="H592" s="29"/>
      <c r="I592" s="29"/>
      <c r="J592" s="98" t="str" cm="1">
        <f t="array" ref="J592">IF(ISBLANK($C592),"",SUMPRODUCT(--(LEFT(D592:I592, 1) = "*"))*50)</f>
        <v/>
      </c>
    </row>
    <row r="593" spans="1:10" ht="27" customHeight="1">
      <c r="A593" s="29"/>
      <c r="B593" s="98" t="str">
        <f t="shared" si="9"/>
        <v/>
      </c>
      <c r="C593" s="29"/>
      <c r="D593" s="29"/>
      <c r="E593" s="29"/>
      <c r="F593" s="29"/>
      <c r="G593" s="29"/>
      <c r="H593" s="29"/>
      <c r="I593" s="29"/>
      <c r="J593" s="98" t="str" cm="1">
        <f t="array" ref="J593">IF(ISBLANK($C593),"",SUMPRODUCT(--(LEFT(D593:I593, 1) = "*"))*50)</f>
        <v/>
      </c>
    </row>
    <row r="594" spans="1:10" ht="27" customHeight="1">
      <c r="A594" s="29"/>
      <c r="B594" s="98" t="str">
        <f t="shared" si="9"/>
        <v/>
      </c>
      <c r="C594" s="29"/>
      <c r="D594" s="29"/>
      <c r="E594" s="29"/>
      <c r="F594" s="29"/>
      <c r="G594" s="29"/>
      <c r="H594" s="29"/>
      <c r="I594" s="29"/>
      <c r="J594" s="98" t="str" cm="1">
        <f t="array" ref="J594">IF(ISBLANK($C594),"",SUMPRODUCT(--(LEFT(D594:I594, 1) = "*"))*50)</f>
        <v/>
      </c>
    </row>
    <row r="595" spans="1:10" ht="27" customHeight="1">
      <c r="A595" s="29"/>
      <c r="B595" s="98" t="str">
        <f t="shared" si="9"/>
        <v/>
      </c>
      <c r="C595" s="29"/>
      <c r="D595" s="29"/>
      <c r="E595" s="29"/>
      <c r="F595" s="29"/>
      <c r="G595" s="29"/>
      <c r="H595" s="29"/>
      <c r="I595" s="29"/>
      <c r="J595" s="98" t="str" cm="1">
        <f t="array" ref="J595">IF(ISBLANK($C595),"",SUMPRODUCT(--(LEFT(D595:I595, 1) = "*"))*50)</f>
        <v/>
      </c>
    </row>
    <row r="596" spans="1:10" ht="27" customHeight="1">
      <c r="A596" s="29"/>
      <c r="B596" s="98" t="str">
        <f t="shared" si="9"/>
        <v/>
      </c>
      <c r="C596" s="29"/>
      <c r="D596" s="29"/>
      <c r="E596" s="29"/>
      <c r="F596" s="29"/>
      <c r="G596" s="29"/>
      <c r="H596" s="29"/>
      <c r="I596" s="29"/>
      <c r="J596" s="98" t="str" cm="1">
        <f t="array" ref="J596">IF(ISBLANK($C596),"",SUMPRODUCT(--(LEFT(D596:I596, 1) = "*"))*50)</f>
        <v/>
      </c>
    </row>
    <row r="597" spans="1:10" ht="27" customHeight="1">
      <c r="A597" s="29"/>
      <c r="B597" s="98" t="str">
        <f t="shared" si="9"/>
        <v/>
      </c>
      <c r="C597" s="29"/>
      <c r="D597" s="29"/>
      <c r="E597" s="29"/>
      <c r="F597" s="29"/>
      <c r="G597" s="29"/>
      <c r="H597" s="29"/>
      <c r="I597" s="29"/>
      <c r="J597" s="98" t="str" cm="1">
        <f t="array" ref="J597">IF(ISBLANK($C597),"",SUMPRODUCT(--(LEFT(D597:I597, 1) = "*"))*50)</f>
        <v/>
      </c>
    </row>
    <row r="598" spans="1:10" ht="27" customHeight="1">
      <c r="A598" s="29"/>
      <c r="B598" s="98" t="str">
        <f t="shared" si="9"/>
        <v/>
      </c>
      <c r="C598" s="29"/>
      <c r="D598" s="29"/>
      <c r="E598" s="29"/>
      <c r="F598" s="29"/>
      <c r="G598" s="29"/>
      <c r="H598" s="29"/>
      <c r="I598" s="29"/>
      <c r="J598" s="98" t="str" cm="1">
        <f t="array" ref="J598">IF(ISBLANK($C598),"",SUMPRODUCT(--(LEFT(D598:I598, 1) = "*"))*50)</f>
        <v/>
      </c>
    </row>
    <row r="599" spans="1:10" ht="27" customHeight="1">
      <c r="A599" s="29"/>
      <c r="B599" s="98" t="str">
        <f t="shared" si="9"/>
        <v/>
      </c>
      <c r="C599" s="29"/>
      <c r="D599" s="29"/>
      <c r="E599" s="29"/>
      <c r="F599" s="29"/>
      <c r="G599" s="29"/>
      <c r="H599" s="29"/>
      <c r="I599" s="29"/>
      <c r="J599" s="98" t="str" cm="1">
        <f t="array" ref="J599">IF(ISBLANK($C599),"",SUMPRODUCT(--(LEFT(D599:I599, 1) = "*"))*50)</f>
        <v/>
      </c>
    </row>
    <row r="600" spans="1:10" ht="27" customHeight="1">
      <c r="A600" s="29"/>
      <c r="B600" s="98" t="str">
        <f t="shared" si="9"/>
        <v/>
      </c>
      <c r="C600" s="29"/>
      <c r="D600" s="29"/>
      <c r="E600" s="29"/>
      <c r="F600" s="29"/>
      <c r="G600" s="29"/>
      <c r="H600" s="29"/>
      <c r="I600" s="29"/>
      <c r="J600" s="98" t="str" cm="1">
        <f t="array" ref="J600">IF(ISBLANK($C600),"",SUMPRODUCT(--(LEFT(D600:I600, 1) = "*"))*50)</f>
        <v/>
      </c>
    </row>
    <row r="601" spans="1:10" ht="27" customHeight="1">
      <c r="A601" s="29"/>
      <c r="B601" s="98" t="str">
        <f t="shared" si="9"/>
        <v/>
      </c>
      <c r="C601" s="29"/>
      <c r="D601" s="29"/>
      <c r="E601" s="29"/>
      <c r="F601" s="29"/>
      <c r="G601" s="29"/>
      <c r="H601" s="29"/>
      <c r="I601" s="29"/>
      <c r="J601" s="98" t="str" cm="1">
        <f t="array" ref="J601">IF(ISBLANK($C601),"",SUMPRODUCT(--(LEFT(D601:I601, 1) = "*"))*50)</f>
        <v/>
      </c>
    </row>
    <row r="602" spans="1:10" ht="27" customHeight="1">
      <c r="A602" s="29"/>
      <c r="B602" s="98" t="str">
        <f t="shared" si="9"/>
        <v/>
      </c>
      <c r="C602" s="29"/>
      <c r="D602" s="29"/>
      <c r="E602" s="29"/>
      <c r="F602" s="29"/>
      <c r="G602" s="29"/>
      <c r="H602" s="29"/>
      <c r="I602" s="29"/>
      <c r="J602" s="98" t="str" cm="1">
        <f t="array" ref="J602">IF(ISBLANK($C602),"",SUMPRODUCT(--(LEFT(D602:I602, 1) = "*"))*50)</f>
        <v/>
      </c>
    </row>
    <row r="603" spans="1:10" ht="27" customHeight="1">
      <c r="A603" s="29"/>
      <c r="B603" s="98" t="str">
        <f t="shared" si="9"/>
        <v/>
      </c>
      <c r="C603" s="29"/>
      <c r="D603" s="29"/>
      <c r="E603" s="29"/>
      <c r="F603" s="29"/>
      <c r="G603" s="29"/>
      <c r="H603" s="29"/>
      <c r="I603" s="29"/>
      <c r="J603" s="98" t="str" cm="1">
        <f t="array" ref="J603">IF(ISBLANK($C603),"",SUMPRODUCT(--(LEFT(D603:I603, 1) = "*"))*50)</f>
        <v/>
      </c>
    </row>
    <row r="604" spans="1:10" ht="27" customHeight="1">
      <c r="A604" s="29"/>
      <c r="B604" s="98" t="str">
        <f t="shared" si="9"/>
        <v/>
      </c>
      <c r="C604" s="29"/>
      <c r="D604" s="29"/>
      <c r="E604" s="29"/>
      <c r="F604" s="29"/>
      <c r="G604" s="29"/>
      <c r="H604" s="29"/>
      <c r="I604" s="29"/>
      <c r="J604" s="98" t="str" cm="1">
        <f t="array" ref="J604">IF(ISBLANK($C604),"",SUMPRODUCT(--(LEFT(D604:I604, 1) = "*"))*50)</f>
        <v/>
      </c>
    </row>
    <row r="605" spans="1:10" ht="27" customHeight="1">
      <c r="A605" s="29"/>
      <c r="B605" s="98" t="str">
        <f t="shared" si="9"/>
        <v/>
      </c>
      <c r="C605" s="29"/>
      <c r="D605" s="29"/>
      <c r="E605" s="29"/>
      <c r="F605" s="29"/>
      <c r="G605" s="29"/>
      <c r="H605" s="29"/>
      <c r="I605" s="29"/>
      <c r="J605" s="98" t="str" cm="1">
        <f t="array" ref="J605">IF(ISBLANK($C605),"",SUMPRODUCT(--(LEFT(D605:I605, 1) = "*"))*50)</f>
        <v/>
      </c>
    </row>
    <row r="606" spans="1:10" ht="27" customHeight="1">
      <c r="A606" s="29"/>
      <c r="B606" s="98" t="str">
        <f t="shared" si="9"/>
        <v/>
      </c>
      <c r="C606" s="29"/>
      <c r="D606" s="29"/>
      <c r="E606" s="29"/>
      <c r="F606" s="29"/>
      <c r="G606" s="29"/>
      <c r="H606" s="29"/>
      <c r="I606" s="29"/>
      <c r="J606" s="98" t="str" cm="1">
        <f t="array" ref="J606">IF(ISBLANK($C606),"",SUMPRODUCT(--(LEFT(D606:I606, 1) = "*"))*50)</f>
        <v/>
      </c>
    </row>
    <row r="607" spans="1:10" ht="27" customHeight="1">
      <c r="A607" s="29"/>
      <c r="B607" s="98" t="str">
        <f t="shared" si="9"/>
        <v/>
      </c>
      <c r="C607" s="29"/>
      <c r="D607" s="29"/>
      <c r="E607" s="29"/>
      <c r="F607" s="29"/>
      <c r="G607" s="29"/>
      <c r="H607" s="29"/>
      <c r="I607" s="29"/>
      <c r="J607" s="98" t="str" cm="1">
        <f t="array" ref="J607">IF(ISBLANK($C607),"",SUMPRODUCT(--(LEFT(D607:I607, 1) = "*"))*50)</f>
        <v/>
      </c>
    </row>
    <row r="608" spans="1:10" ht="27" customHeight="1">
      <c r="A608" s="29"/>
      <c r="B608" s="98" t="str">
        <f t="shared" si="9"/>
        <v/>
      </c>
      <c r="C608" s="29"/>
      <c r="D608" s="29"/>
      <c r="E608" s="29"/>
      <c r="F608" s="29"/>
      <c r="G608" s="29"/>
      <c r="H608" s="29"/>
      <c r="I608" s="29"/>
      <c r="J608" s="98" t="str" cm="1">
        <f t="array" ref="J608">IF(ISBLANK($C608),"",SUMPRODUCT(--(LEFT(D608:I608, 1) = "*"))*50)</f>
        <v/>
      </c>
    </row>
    <row r="609" spans="1:10" ht="27" customHeight="1">
      <c r="A609" s="29"/>
      <c r="B609" s="98" t="str">
        <f t="shared" si="9"/>
        <v/>
      </c>
      <c r="C609" s="29"/>
      <c r="D609" s="29"/>
      <c r="E609" s="29"/>
      <c r="F609" s="29"/>
      <c r="G609" s="29"/>
      <c r="H609" s="29"/>
      <c r="I609" s="29"/>
      <c r="J609" s="98" t="str" cm="1">
        <f t="array" ref="J609">IF(ISBLANK($C609),"",SUMPRODUCT(--(LEFT(D609:I609, 1) = "*"))*50)</f>
        <v/>
      </c>
    </row>
    <row r="610" spans="1:10" ht="27" customHeight="1">
      <c r="A610" s="29"/>
      <c r="B610" s="98" t="str">
        <f t="shared" si="9"/>
        <v/>
      </c>
      <c r="C610" s="29"/>
      <c r="D610" s="29"/>
      <c r="E610" s="29"/>
      <c r="F610" s="29"/>
      <c r="G610" s="29"/>
      <c r="H610" s="29"/>
      <c r="I610" s="29"/>
      <c r="J610" s="98" t="str" cm="1">
        <f t="array" ref="J610">IF(ISBLANK($C610),"",SUMPRODUCT(--(LEFT(D610:I610, 1) = "*"))*50)</f>
        <v/>
      </c>
    </row>
    <row r="611" spans="1:10" ht="27" customHeight="1">
      <c r="A611" s="29"/>
      <c r="B611" s="98" t="str">
        <f t="shared" si="9"/>
        <v/>
      </c>
      <c r="C611" s="29"/>
      <c r="D611" s="29"/>
      <c r="E611" s="29"/>
      <c r="F611" s="29"/>
      <c r="G611" s="29"/>
      <c r="H611" s="29"/>
      <c r="I611" s="29"/>
      <c r="J611" s="98" t="str" cm="1">
        <f t="array" ref="J611">IF(ISBLANK($C611),"",SUMPRODUCT(--(LEFT(D611:I611, 1) = "*"))*50)</f>
        <v/>
      </c>
    </row>
    <row r="612" spans="1:10" ht="27" customHeight="1">
      <c r="A612" s="29"/>
      <c r="B612" s="98" t="str">
        <f t="shared" si="9"/>
        <v/>
      </c>
      <c r="C612" s="29"/>
      <c r="D612" s="29"/>
      <c r="E612" s="29"/>
      <c r="F612" s="29"/>
      <c r="G612" s="29"/>
      <c r="H612" s="29"/>
      <c r="I612" s="29"/>
      <c r="J612" s="98" t="str" cm="1">
        <f t="array" ref="J612">IF(ISBLANK($C612),"",SUMPRODUCT(--(LEFT(D612:I612, 1) = "*"))*50)</f>
        <v/>
      </c>
    </row>
    <row r="613" spans="1:10" ht="27" customHeight="1">
      <c r="A613" s="29"/>
      <c r="B613" s="98" t="str">
        <f t="shared" si="9"/>
        <v/>
      </c>
      <c r="C613" s="29"/>
      <c r="D613" s="29"/>
      <c r="E613" s="29"/>
      <c r="F613" s="29"/>
      <c r="G613" s="29"/>
      <c r="H613" s="29"/>
      <c r="I613" s="29"/>
      <c r="J613" s="98" t="str" cm="1">
        <f t="array" ref="J613">IF(ISBLANK($C613),"",SUMPRODUCT(--(LEFT(D613:I613, 1) = "*"))*50)</f>
        <v/>
      </c>
    </row>
    <row r="614" spans="1:10" ht="27" customHeight="1">
      <c r="A614" s="29"/>
      <c r="B614" s="98" t="str">
        <f t="shared" si="9"/>
        <v/>
      </c>
      <c r="C614" s="29"/>
      <c r="D614" s="29"/>
      <c r="E614" s="29"/>
      <c r="F614" s="29"/>
      <c r="G614" s="29"/>
      <c r="H614" s="29"/>
      <c r="I614" s="29"/>
      <c r="J614" s="98" t="str" cm="1">
        <f t="array" ref="J614">IF(ISBLANK($C614),"",SUMPRODUCT(--(LEFT(D614:I614, 1) = "*"))*50)</f>
        <v/>
      </c>
    </row>
    <row r="615" spans="1:10" ht="27" customHeight="1">
      <c r="A615" s="29"/>
      <c r="B615" s="98" t="str">
        <f t="shared" si="9"/>
        <v/>
      </c>
      <c r="C615" s="29"/>
      <c r="D615" s="29"/>
      <c r="E615" s="29"/>
      <c r="F615" s="29"/>
      <c r="G615" s="29"/>
      <c r="H615" s="29"/>
      <c r="I615" s="29"/>
      <c r="J615" s="98" t="str" cm="1">
        <f t="array" ref="J615">IF(ISBLANK($C615),"",SUMPRODUCT(--(LEFT(D615:I615, 1) = "*"))*50)</f>
        <v/>
      </c>
    </row>
    <row r="616" spans="1:10" ht="27" customHeight="1">
      <c r="A616" s="29"/>
      <c r="B616" s="98" t="str">
        <f t="shared" si="9"/>
        <v/>
      </c>
      <c r="C616" s="29"/>
      <c r="D616" s="29"/>
      <c r="E616" s="29"/>
      <c r="F616" s="29"/>
      <c r="G616" s="29"/>
      <c r="H616" s="29"/>
      <c r="I616" s="29"/>
      <c r="J616" s="98" t="str" cm="1">
        <f t="array" ref="J616">IF(ISBLANK($C616),"",SUMPRODUCT(--(LEFT(D616:I616, 1) = "*"))*50)</f>
        <v/>
      </c>
    </row>
    <row r="617" spans="1:10" ht="27" customHeight="1">
      <c r="A617" s="29"/>
      <c r="B617" s="98" t="str">
        <f t="shared" si="9"/>
        <v/>
      </c>
      <c r="C617" s="29"/>
      <c r="D617" s="29"/>
      <c r="E617" s="29"/>
      <c r="F617" s="29"/>
      <c r="G617" s="29"/>
      <c r="H617" s="29"/>
      <c r="I617" s="29"/>
      <c r="J617" s="98" t="str" cm="1">
        <f t="array" ref="J617">IF(ISBLANK($C617),"",SUMPRODUCT(--(LEFT(D617:I617, 1) = "*"))*50)</f>
        <v/>
      </c>
    </row>
    <row r="618" spans="1:10" ht="27" customHeight="1">
      <c r="A618" s="29"/>
      <c r="B618" s="98" t="str">
        <f t="shared" si="9"/>
        <v/>
      </c>
      <c r="C618" s="29"/>
      <c r="D618" s="29"/>
      <c r="E618" s="29"/>
      <c r="F618" s="29"/>
      <c r="G618" s="29"/>
      <c r="H618" s="29"/>
      <c r="I618" s="29"/>
      <c r="J618" s="98" t="str" cm="1">
        <f t="array" ref="J618">IF(ISBLANK($C618),"",SUMPRODUCT(--(LEFT(D618:I618, 1) = "*"))*50)</f>
        <v/>
      </c>
    </row>
    <row r="619" spans="1:10" ht="27" customHeight="1">
      <c r="A619" s="29"/>
      <c r="B619" s="98" t="str">
        <f t="shared" si="9"/>
        <v/>
      </c>
      <c r="C619" s="29"/>
      <c r="D619" s="29"/>
      <c r="E619" s="29"/>
      <c r="F619" s="29"/>
      <c r="G619" s="29"/>
      <c r="H619" s="29"/>
      <c r="I619" s="29"/>
      <c r="J619" s="98" t="str" cm="1">
        <f t="array" ref="J619">IF(ISBLANK($C619),"",SUMPRODUCT(--(LEFT(D619:I619, 1) = "*"))*50)</f>
        <v/>
      </c>
    </row>
    <row r="620" spans="1:10" ht="27" customHeight="1">
      <c r="A620" s="29"/>
      <c r="B620" s="98" t="str">
        <f t="shared" si="9"/>
        <v/>
      </c>
      <c r="C620" s="29"/>
      <c r="D620" s="29"/>
      <c r="E620" s="29"/>
      <c r="F620" s="29"/>
      <c r="G620" s="29"/>
      <c r="H620" s="29"/>
      <c r="I620" s="29"/>
      <c r="J620" s="98" t="str" cm="1">
        <f t="array" ref="J620">IF(ISBLANK($C620),"",SUMPRODUCT(--(LEFT(D620:I620, 1) = "*"))*50)</f>
        <v/>
      </c>
    </row>
    <row r="621" spans="1:10" ht="27" customHeight="1">
      <c r="A621" s="29"/>
      <c r="B621" s="98" t="str">
        <f t="shared" si="9"/>
        <v/>
      </c>
      <c r="C621" s="29"/>
      <c r="D621" s="29"/>
      <c r="E621" s="29"/>
      <c r="F621" s="29"/>
      <c r="G621" s="29"/>
      <c r="H621" s="29"/>
      <c r="I621" s="29"/>
      <c r="J621" s="98" t="str" cm="1">
        <f t="array" ref="J621">IF(ISBLANK($C621),"",SUMPRODUCT(--(LEFT(D621:I621, 1) = "*"))*50)</f>
        <v/>
      </c>
    </row>
    <row r="622" spans="1:10" ht="27" customHeight="1">
      <c r="A622" s="29"/>
      <c r="B622" s="98" t="str">
        <f t="shared" si="9"/>
        <v/>
      </c>
      <c r="C622" s="29"/>
      <c r="D622" s="29"/>
      <c r="E622" s="29"/>
      <c r="F622" s="29"/>
      <c r="G622" s="29"/>
      <c r="H622" s="29"/>
      <c r="I622" s="29"/>
      <c r="J622" s="98" t="str" cm="1">
        <f t="array" ref="J622">IF(ISBLANK($C622),"",SUMPRODUCT(--(LEFT(D622:I622, 1) = "*"))*50)</f>
        <v/>
      </c>
    </row>
    <row r="623" spans="1:10" ht="27" customHeight="1">
      <c r="A623" s="29"/>
      <c r="B623" s="98" t="str">
        <f t="shared" si="9"/>
        <v/>
      </c>
      <c r="C623" s="29"/>
      <c r="D623" s="29"/>
      <c r="E623" s="29"/>
      <c r="F623" s="29"/>
      <c r="G623" s="29"/>
      <c r="H623" s="29"/>
      <c r="I623" s="29"/>
      <c r="J623" s="98" t="str" cm="1">
        <f t="array" ref="J623">IF(ISBLANK($C623),"",SUMPRODUCT(--(LEFT(D623:I623, 1) = "*"))*50)</f>
        <v/>
      </c>
    </row>
    <row r="624" spans="1:10" ht="27" customHeight="1">
      <c r="A624" s="29"/>
      <c r="B624" s="98" t="str">
        <f t="shared" si="9"/>
        <v/>
      </c>
      <c r="C624" s="29"/>
      <c r="D624" s="29"/>
      <c r="E624" s="29"/>
      <c r="F624" s="29"/>
      <c r="G624" s="29"/>
      <c r="H624" s="29"/>
      <c r="I624" s="29"/>
      <c r="J624" s="98" t="str" cm="1">
        <f t="array" ref="J624">IF(ISBLANK($C624),"",SUMPRODUCT(--(LEFT(D624:I624, 1) = "*"))*50)</f>
        <v/>
      </c>
    </row>
    <row r="625" spans="1:10" ht="27" customHeight="1">
      <c r="A625" s="29"/>
      <c r="B625" s="98" t="str">
        <f t="shared" si="9"/>
        <v/>
      </c>
      <c r="C625" s="29"/>
      <c r="D625" s="29"/>
      <c r="E625" s="29"/>
      <c r="F625" s="29"/>
      <c r="G625" s="29"/>
      <c r="H625" s="29"/>
      <c r="I625" s="29"/>
      <c r="J625" s="98" t="str" cm="1">
        <f t="array" ref="J625">IF(ISBLANK($C625),"",SUMPRODUCT(--(LEFT(D625:I625, 1) = "*"))*50)</f>
        <v/>
      </c>
    </row>
    <row r="626" spans="1:10" ht="27" customHeight="1">
      <c r="A626" s="29"/>
      <c r="B626" s="98" t="str">
        <f t="shared" si="9"/>
        <v/>
      </c>
      <c r="C626" s="29"/>
      <c r="D626" s="29"/>
      <c r="E626" s="29"/>
      <c r="F626" s="29"/>
      <c r="G626" s="29"/>
      <c r="H626" s="29"/>
      <c r="I626" s="29"/>
      <c r="J626" s="98" t="str" cm="1">
        <f t="array" ref="J626">IF(ISBLANK($C626),"",SUMPRODUCT(--(LEFT(D626:I626, 1) = "*"))*50)</f>
        <v/>
      </c>
    </row>
    <row r="627" spans="1:10" ht="27" customHeight="1">
      <c r="A627" s="29"/>
      <c r="B627" s="98" t="str">
        <f t="shared" si="9"/>
        <v/>
      </c>
      <c r="C627" s="29"/>
      <c r="D627" s="29"/>
      <c r="E627" s="29"/>
      <c r="F627" s="29"/>
      <c r="G627" s="29"/>
      <c r="H627" s="29"/>
      <c r="I627" s="29"/>
      <c r="J627" s="98" t="str" cm="1">
        <f t="array" ref="J627">IF(ISBLANK($C627),"",SUMPRODUCT(--(LEFT(D627:I627, 1) = "*"))*50)</f>
        <v/>
      </c>
    </row>
    <row r="628" spans="1:10" ht="27" customHeight="1">
      <c r="A628" s="29"/>
      <c r="B628" s="98" t="str">
        <f t="shared" si="9"/>
        <v/>
      </c>
      <c r="C628" s="29"/>
      <c r="D628" s="29"/>
      <c r="E628" s="29"/>
      <c r="F628" s="29"/>
      <c r="G628" s="29"/>
      <c r="H628" s="29"/>
      <c r="I628" s="29"/>
      <c r="J628" s="98" t="str" cm="1">
        <f t="array" ref="J628">IF(ISBLANK($C628),"",SUMPRODUCT(--(LEFT(D628:I628, 1) = "*"))*50)</f>
        <v/>
      </c>
    </row>
    <row r="629" spans="1:10" ht="27" customHeight="1">
      <c r="A629" s="29"/>
      <c r="B629" s="98" t="str">
        <f t="shared" si="9"/>
        <v/>
      </c>
      <c r="C629" s="29"/>
      <c r="D629" s="29"/>
      <c r="E629" s="29"/>
      <c r="F629" s="29"/>
      <c r="G629" s="29"/>
      <c r="H629" s="29"/>
      <c r="I629" s="29"/>
      <c r="J629" s="98" t="str" cm="1">
        <f t="array" ref="J629">IF(ISBLANK($C629),"",SUMPRODUCT(--(LEFT(D629:I629, 1) = "*"))*50)</f>
        <v/>
      </c>
    </row>
    <row r="630" spans="1:10" ht="27" customHeight="1">
      <c r="A630" s="29"/>
      <c r="B630" s="98" t="str">
        <f t="shared" si="9"/>
        <v/>
      </c>
      <c r="C630" s="29"/>
      <c r="D630" s="29"/>
      <c r="E630" s="29"/>
      <c r="F630" s="29"/>
      <c r="G630" s="29"/>
      <c r="H630" s="29"/>
      <c r="I630" s="29"/>
      <c r="J630" s="98" t="str" cm="1">
        <f t="array" ref="J630">IF(ISBLANK($C630),"",SUMPRODUCT(--(LEFT(D630:I630, 1) = "*"))*50)</f>
        <v/>
      </c>
    </row>
    <row r="631" spans="1:10" ht="27" customHeight="1">
      <c r="A631" s="29"/>
      <c r="B631" s="98" t="str">
        <f t="shared" si="9"/>
        <v/>
      </c>
      <c r="C631" s="29"/>
      <c r="D631" s="29"/>
      <c r="E631" s="29"/>
      <c r="F631" s="29"/>
      <c r="G631" s="29"/>
      <c r="H631" s="29"/>
      <c r="I631" s="29"/>
      <c r="J631" s="98" t="str" cm="1">
        <f t="array" ref="J631">IF(ISBLANK($C631),"",SUMPRODUCT(--(LEFT(D631:I631, 1) = "*"))*50)</f>
        <v/>
      </c>
    </row>
    <row r="632" spans="1:10" ht="27" customHeight="1">
      <c r="A632" s="29"/>
      <c r="B632" s="98" t="str">
        <f t="shared" si="9"/>
        <v/>
      </c>
      <c r="C632" s="29"/>
      <c r="D632" s="29"/>
      <c r="E632" s="29"/>
      <c r="F632" s="29"/>
      <c r="G632" s="29"/>
      <c r="H632" s="29"/>
      <c r="I632" s="29"/>
      <c r="J632" s="98" t="str" cm="1">
        <f t="array" ref="J632">IF(ISBLANK($C632),"",SUMPRODUCT(--(LEFT(D632:I632, 1) = "*"))*50)</f>
        <v/>
      </c>
    </row>
    <row r="633" spans="1:10" ht="27" customHeight="1">
      <c r="A633" s="29"/>
      <c r="B633" s="98" t="str">
        <f t="shared" si="9"/>
        <v/>
      </c>
      <c r="C633" s="29"/>
      <c r="D633" s="29"/>
      <c r="E633" s="29"/>
      <c r="F633" s="29"/>
      <c r="G633" s="29"/>
      <c r="H633" s="29"/>
      <c r="I633" s="29"/>
      <c r="J633" s="98" t="str" cm="1">
        <f t="array" ref="J633">IF(ISBLANK($C633),"",SUMPRODUCT(--(LEFT(D633:I633, 1) = "*"))*50)</f>
        <v/>
      </c>
    </row>
    <row r="634" spans="1:10" ht="27" customHeight="1">
      <c r="A634" s="29"/>
      <c r="B634" s="98" t="str">
        <f t="shared" si="9"/>
        <v/>
      </c>
      <c r="C634" s="29"/>
      <c r="D634" s="29"/>
      <c r="E634" s="29"/>
      <c r="F634" s="29"/>
      <c r="G634" s="29"/>
      <c r="H634" s="29"/>
      <c r="I634" s="29"/>
      <c r="J634" s="98" t="str" cm="1">
        <f t="array" ref="J634">IF(ISBLANK($C634),"",SUMPRODUCT(--(LEFT(D634:I634, 1) = "*"))*50)</f>
        <v/>
      </c>
    </row>
    <row r="635" spans="1:10" ht="27" customHeight="1">
      <c r="A635" s="29"/>
      <c r="B635" s="98" t="str">
        <f t="shared" si="9"/>
        <v/>
      </c>
      <c r="C635" s="29"/>
      <c r="D635" s="29"/>
      <c r="E635" s="29"/>
      <c r="F635" s="29"/>
      <c r="G635" s="29"/>
      <c r="H635" s="29"/>
      <c r="I635" s="29"/>
      <c r="J635" s="98" t="str" cm="1">
        <f t="array" ref="J635">IF(ISBLANK($C635),"",SUMPRODUCT(--(LEFT(D635:I635, 1) = "*"))*50)</f>
        <v/>
      </c>
    </row>
    <row r="636" spans="1:10" ht="27" customHeight="1">
      <c r="A636" s="29"/>
      <c r="B636" s="98" t="str">
        <f t="shared" si="9"/>
        <v/>
      </c>
      <c r="C636" s="29"/>
      <c r="D636" s="29"/>
      <c r="E636" s="29"/>
      <c r="F636" s="29"/>
      <c r="G636" s="29"/>
      <c r="H636" s="29"/>
      <c r="I636" s="29"/>
      <c r="J636" s="98" t="str" cm="1">
        <f t="array" ref="J636">IF(ISBLANK($C636),"",SUMPRODUCT(--(LEFT(D636:I636, 1) = "*"))*50)</f>
        <v/>
      </c>
    </row>
    <row r="637" spans="1:10" ht="27" customHeight="1">
      <c r="A637" s="29"/>
      <c r="B637" s="98" t="str">
        <f t="shared" si="9"/>
        <v/>
      </c>
      <c r="C637" s="29"/>
      <c r="D637" s="29"/>
      <c r="E637" s="29"/>
      <c r="F637" s="29"/>
      <c r="G637" s="29"/>
      <c r="H637" s="29"/>
      <c r="I637" s="29"/>
      <c r="J637" s="98" t="str" cm="1">
        <f t="array" ref="J637">IF(ISBLANK($C637),"",SUMPRODUCT(--(LEFT(D637:I637, 1) = "*"))*50)</f>
        <v/>
      </c>
    </row>
    <row r="638" spans="1:10" ht="27" customHeight="1">
      <c r="A638" s="29"/>
      <c r="B638" s="98" t="str">
        <f t="shared" si="9"/>
        <v/>
      </c>
      <c r="C638" s="29"/>
      <c r="D638" s="29"/>
      <c r="E638" s="29"/>
      <c r="F638" s="29"/>
      <c r="G638" s="29"/>
      <c r="H638" s="29"/>
      <c r="I638" s="29"/>
      <c r="J638" s="98" t="str" cm="1">
        <f t="array" ref="J638">IF(ISBLANK($C638),"",SUMPRODUCT(--(LEFT(D638:I638, 1) = "*"))*50)</f>
        <v/>
      </c>
    </row>
    <row r="639" spans="1:10" ht="27" customHeight="1">
      <c r="A639" s="29"/>
      <c r="B639" s="98" t="str">
        <f t="shared" si="9"/>
        <v/>
      </c>
      <c r="C639" s="29"/>
      <c r="D639" s="29"/>
      <c r="E639" s="29"/>
      <c r="F639" s="29"/>
      <c r="G639" s="29"/>
      <c r="H639" s="29"/>
      <c r="I639" s="29"/>
      <c r="J639" s="98" t="str" cm="1">
        <f t="array" ref="J639">IF(ISBLANK($C639),"",SUMPRODUCT(--(LEFT(D639:I639, 1) = "*"))*50)</f>
        <v/>
      </c>
    </row>
    <row r="640" spans="1:10" ht="27" customHeight="1">
      <c r="A640" s="29"/>
      <c r="B640" s="98" t="str">
        <f t="shared" si="9"/>
        <v/>
      </c>
      <c r="C640" s="29"/>
      <c r="D640" s="29"/>
      <c r="E640" s="29"/>
      <c r="F640" s="29"/>
      <c r="G640" s="29"/>
      <c r="H640" s="29"/>
      <c r="I640" s="29"/>
      <c r="J640" s="98" t="str" cm="1">
        <f t="array" ref="J640">IF(ISBLANK($C640),"",SUMPRODUCT(--(LEFT(D640:I640, 1) = "*"))*50)</f>
        <v/>
      </c>
    </row>
    <row r="641" spans="1:10" ht="27" customHeight="1">
      <c r="A641" s="29"/>
      <c r="B641" s="98" t="str">
        <f t="shared" si="9"/>
        <v/>
      </c>
      <c r="C641" s="29"/>
      <c r="D641" s="29"/>
      <c r="E641" s="29"/>
      <c r="F641" s="29"/>
      <c r="G641" s="29"/>
      <c r="H641" s="29"/>
      <c r="I641" s="29"/>
      <c r="J641" s="98" t="str" cm="1">
        <f t="array" ref="J641">IF(ISBLANK($C641),"",SUMPRODUCT(--(LEFT(D641:I641, 1) = "*"))*50)</f>
        <v/>
      </c>
    </row>
    <row r="642" spans="1:10" ht="27" customHeight="1">
      <c r="A642" s="29"/>
      <c r="B642" s="98" t="str">
        <f t="shared" si="9"/>
        <v/>
      </c>
      <c r="C642" s="29"/>
      <c r="D642" s="29"/>
      <c r="E642" s="29"/>
      <c r="F642" s="29"/>
      <c r="G642" s="29"/>
      <c r="H642" s="29"/>
      <c r="I642" s="29"/>
      <c r="J642" s="98" t="str" cm="1">
        <f t="array" ref="J642">IF(ISBLANK($C642),"",SUMPRODUCT(--(LEFT(D642:I642, 1) = "*"))*50)</f>
        <v/>
      </c>
    </row>
    <row r="643" spans="1:10" ht="27" customHeight="1">
      <c r="A643" s="29"/>
      <c r="B643" s="98" t="str">
        <f t="shared" ref="B643:B706" si="10">IF(ISBLANK($C643),"","MCQ")</f>
        <v/>
      </c>
      <c r="C643" s="29"/>
      <c r="D643" s="29"/>
      <c r="E643" s="29"/>
      <c r="F643" s="29"/>
      <c r="G643" s="29"/>
      <c r="H643" s="29"/>
      <c r="I643" s="29"/>
      <c r="J643" s="98" t="str" cm="1">
        <f t="array" ref="J643">IF(ISBLANK($C643),"",SUMPRODUCT(--(LEFT(D643:I643, 1) = "*"))*50)</f>
        <v/>
      </c>
    </row>
    <row r="644" spans="1:10" ht="27" customHeight="1">
      <c r="A644" s="29"/>
      <c r="B644" s="98" t="str">
        <f t="shared" si="10"/>
        <v/>
      </c>
      <c r="C644" s="29"/>
      <c r="D644" s="29"/>
      <c r="E644" s="29"/>
      <c r="F644" s="29"/>
      <c r="G644" s="29"/>
      <c r="H644" s="29"/>
      <c r="I644" s="29"/>
      <c r="J644" s="98" t="str" cm="1">
        <f t="array" ref="J644">IF(ISBLANK($C644),"",SUMPRODUCT(--(LEFT(D644:I644, 1) = "*"))*50)</f>
        <v/>
      </c>
    </row>
    <row r="645" spans="1:10" ht="27" customHeight="1">
      <c r="A645" s="29"/>
      <c r="B645" s="98" t="str">
        <f t="shared" si="10"/>
        <v/>
      </c>
      <c r="C645" s="29"/>
      <c r="D645" s="29"/>
      <c r="E645" s="29"/>
      <c r="F645" s="29"/>
      <c r="G645" s="29"/>
      <c r="H645" s="29"/>
      <c r="I645" s="29"/>
      <c r="J645" s="98" t="str" cm="1">
        <f t="array" ref="J645">IF(ISBLANK($C645),"",SUMPRODUCT(--(LEFT(D645:I645, 1) = "*"))*50)</f>
        <v/>
      </c>
    </row>
    <row r="646" spans="1:10" ht="27" customHeight="1">
      <c r="A646" s="29"/>
      <c r="B646" s="98" t="str">
        <f t="shared" si="10"/>
        <v/>
      </c>
      <c r="C646" s="29"/>
      <c r="D646" s="29"/>
      <c r="E646" s="29"/>
      <c r="F646" s="29"/>
      <c r="G646" s="29"/>
      <c r="H646" s="29"/>
      <c r="I646" s="29"/>
      <c r="J646" s="98" t="str" cm="1">
        <f t="array" ref="J646">IF(ISBLANK($C646),"",SUMPRODUCT(--(LEFT(D646:I646, 1) = "*"))*50)</f>
        <v/>
      </c>
    </row>
    <row r="647" spans="1:10" ht="27" customHeight="1">
      <c r="A647" s="29"/>
      <c r="B647" s="98" t="str">
        <f t="shared" si="10"/>
        <v/>
      </c>
      <c r="C647" s="29"/>
      <c r="D647" s="29"/>
      <c r="E647" s="29"/>
      <c r="F647" s="29"/>
      <c r="G647" s="29"/>
      <c r="H647" s="29"/>
      <c r="I647" s="29"/>
      <c r="J647" s="98" t="str" cm="1">
        <f t="array" ref="J647">IF(ISBLANK($C647),"",SUMPRODUCT(--(LEFT(D647:I647, 1) = "*"))*50)</f>
        <v/>
      </c>
    </row>
    <row r="648" spans="1:10" ht="27" customHeight="1">
      <c r="A648" s="29"/>
      <c r="B648" s="98" t="str">
        <f t="shared" si="10"/>
        <v/>
      </c>
      <c r="C648" s="29"/>
      <c r="D648" s="29"/>
      <c r="E648" s="29"/>
      <c r="F648" s="29"/>
      <c r="G648" s="29"/>
      <c r="H648" s="29"/>
      <c r="I648" s="29"/>
      <c r="J648" s="98" t="str" cm="1">
        <f t="array" ref="J648">IF(ISBLANK($C648),"",SUMPRODUCT(--(LEFT(D648:I648, 1) = "*"))*50)</f>
        <v/>
      </c>
    </row>
    <row r="649" spans="1:10" ht="27" customHeight="1">
      <c r="A649" s="29"/>
      <c r="B649" s="98" t="str">
        <f t="shared" si="10"/>
        <v/>
      </c>
      <c r="C649" s="29"/>
      <c r="D649" s="29"/>
      <c r="E649" s="29"/>
      <c r="F649" s="29"/>
      <c r="G649" s="29"/>
      <c r="H649" s="29"/>
      <c r="I649" s="29"/>
      <c r="J649" s="98" t="str" cm="1">
        <f t="array" ref="J649">IF(ISBLANK($C649),"",SUMPRODUCT(--(LEFT(D649:I649, 1) = "*"))*50)</f>
        <v/>
      </c>
    </row>
    <row r="650" spans="1:10" ht="27" customHeight="1">
      <c r="A650" s="29"/>
      <c r="B650" s="98" t="str">
        <f t="shared" si="10"/>
        <v/>
      </c>
      <c r="C650" s="29"/>
      <c r="D650" s="29"/>
      <c r="E650" s="29"/>
      <c r="F650" s="29"/>
      <c r="G650" s="29"/>
      <c r="H650" s="29"/>
      <c r="I650" s="29"/>
      <c r="J650" s="98" t="str" cm="1">
        <f t="array" ref="J650">IF(ISBLANK($C650),"",SUMPRODUCT(--(LEFT(D650:I650, 1) = "*"))*50)</f>
        <v/>
      </c>
    </row>
    <row r="651" spans="1:10" ht="27" customHeight="1">
      <c r="A651" s="29"/>
      <c r="B651" s="98" t="str">
        <f t="shared" si="10"/>
        <v/>
      </c>
      <c r="C651" s="29"/>
      <c r="D651" s="29"/>
      <c r="E651" s="29"/>
      <c r="F651" s="29"/>
      <c r="G651" s="29"/>
      <c r="H651" s="29"/>
      <c r="I651" s="29"/>
      <c r="J651" s="98" t="str" cm="1">
        <f t="array" ref="J651">IF(ISBLANK($C651),"",SUMPRODUCT(--(LEFT(D651:I651, 1) = "*"))*50)</f>
        <v/>
      </c>
    </row>
    <row r="652" spans="1:10" ht="27" customHeight="1">
      <c r="A652" s="29"/>
      <c r="B652" s="98" t="str">
        <f t="shared" si="10"/>
        <v/>
      </c>
      <c r="C652" s="29"/>
      <c r="D652" s="29"/>
      <c r="E652" s="29"/>
      <c r="F652" s="29"/>
      <c r="G652" s="29"/>
      <c r="H652" s="29"/>
      <c r="I652" s="29"/>
      <c r="J652" s="98" t="str" cm="1">
        <f t="array" ref="J652">IF(ISBLANK($C652),"",SUMPRODUCT(--(LEFT(D652:I652, 1) = "*"))*50)</f>
        <v/>
      </c>
    </row>
    <row r="653" spans="1:10" ht="27" customHeight="1">
      <c r="A653" s="29"/>
      <c r="B653" s="98" t="str">
        <f t="shared" si="10"/>
        <v/>
      </c>
      <c r="C653" s="29"/>
      <c r="D653" s="29"/>
      <c r="E653" s="29"/>
      <c r="F653" s="29"/>
      <c r="G653" s="29"/>
      <c r="H653" s="29"/>
      <c r="I653" s="29"/>
      <c r="J653" s="98" t="str" cm="1">
        <f t="array" ref="J653">IF(ISBLANK($C653),"",SUMPRODUCT(--(LEFT(D653:I653, 1) = "*"))*50)</f>
        <v/>
      </c>
    </row>
    <row r="654" spans="1:10" ht="27" customHeight="1">
      <c r="A654" s="29"/>
      <c r="B654" s="98" t="str">
        <f t="shared" si="10"/>
        <v/>
      </c>
      <c r="C654" s="29"/>
      <c r="D654" s="29"/>
      <c r="E654" s="29"/>
      <c r="F654" s="29"/>
      <c r="G654" s="29"/>
      <c r="H654" s="29"/>
      <c r="I654" s="29"/>
      <c r="J654" s="98" t="str" cm="1">
        <f t="array" ref="J654">IF(ISBLANK($C654),"",SUMPRODUCT(--(LEFT(D654:I654, 1) = "*"))*50)</f>
        <v/>
      </c>
    </row>
    <row r="655" spans="1:10" ht="27" customHeight="1">
      <c r="A655" s="29"/>
      <c r="B655" s="98" t="str">
        <f t="shared" si="10"/>
        <v/>
      </c>
      <c r="C655" s="29"/>
      <c r="D655" s="29"/>
      <c r="E655" s="29"/>
      <c r="F655" s="29"/>
      <c r="G655" s="29"/>
      <c r="H655" s="29"/>
      <c r="I655" s="29"/>
      <c r="J655" s="98" t="str" cm="1">
        <f t="array" ref="J655">IF(ISBLANK($C655),"",SUMPRODUCT(--(LEFT(D655:I655, 1) = "*"))*50)</f>
        <v/>
      </c>
    </row>
    <row r="656" spans="1:10" ht="27" customHeight="1">
      <c r="A656" s="29"/>
      <c r="B656" s="98" t="str">
        <f t="shared" si="10"/>
        <v/>
      </c>
      <c r="C656" s="29"/>
      <c r="D656" s="29"/>
      <c r="E656" s="29"/>
      <c r="F656" s="29"/>
      <c r="G656" s="29"/>
      <c r="H656" s="29"/>
      <c r="I656" s="29"/>
      <c r="J656" s="98" t="str" cm="1">
        <f t="array" ref="J656">IF(ISBLANK($C656),"",SUMPRODUCT(--(LEFT(D656:I656, 1) = "*"))*50)</f>
        <v/>
      </c>
    </row>
    <row r="657" spans="1:10" ht="27" customHeight="1">
      <c r="A657" s="29"/>
      <c r="B657" s="98" t="str">
        <f t="shared" si="10"/>
        <v/>
      </c>
      <c r="C657" s="29"/>
      <c r="D657" s="29"/>
      <c r="E657" s="29"/>
      <c r="F657" s="29"/>
      <c r="G657" s="29"/>
      <c r="H657" s="29"/>
      <c r="I657" s="29"/>
      <c r="J657" s="98" t="str" cm="1">
        <f t="array" ref="J657">IF(ISBLANK($C657),"",SUMPRODUCT(--(LEFT(D657:I657, 1) = "*"))*50)</f>
        <v/>
      </c>
    </row>
    <row r="658" spans="1:10" ht="27" customHeight="1">
      <c r="A658" s="29"/>
      <c r="B658" s="98" t="str">
        <f t="shared" si="10"/>
        <v/>
      </c>
      <c r="C658" s="29"/>
      <c r="D658" s="29"/>
      <c r="E658" s="29"/>
      <c r="F658" s="29"/>
      <c r="G658" s="29"/>
      <c r="H658" s="29"/>
      <c r="I658" s="29"/>
      <c r="J658" s="98" t="str" cm="1">
        <f t="array" ref="J658">IF(ISBLANK($C658),"",SUMPRODUCT(--(LEFT(D658:I658, 1) = "*"))*50)</f>
        <v/>
      </c>
    </row>
    <row r="659" spans="1:10" ht="27" customHeight="1">
      <c r="A659" s="29"/>
      <c r="B659" s="98" t="str">
        <f t="shared" si="10"/>
        <v/>
      </c>
      <c r="C659" s="29"/>
      <c r="D659" s="29"/>
      <c r="E659" s="29"/>
      <c r="F659" s="29"/>
      <c r="G659" s="29"/>
      <c r="H659" s="29"/>
      <c r="I659" s="29"/>
      <c r="J659" s="98" t="str" cm="1">
        <f t="array" ref="J659">IF(ISBLANK($C659),"",SUMPRODUCT(--(LEFT(D659:I659, 1) = "*"))*50)</f>
        <v/>
      </c>
    </row>
    <row r="660" spans="1:10" ht="27" customHeight="1">
      <c r="A660" s="29"/>
      <c r="B660" s="98" t="str">
        <f t="shared" si="10"/>
        <v/>
      </c>
      <c r="C660" s="29"/>
      <c r="D660" s="29"/>
      <c r="E660" s="29"/>
      <c r="F660" s="29"/>
      <c r="G660" s="29"/>
      <c r="H660" s="29"/>
      <c r="I660" s="29"/>
      <c r="J660" s="98" t="str" cm="1">
        <f t="array" ref="J660">IF(ISBLANK($C660),"",SUMPRODUCT(--(LEFT(D660:I660, 1) = "*"))*50)</f>
        <v/>
      </c>
    </row>
    <row r="661" spans="1:10" ht="27" customHeight="1">
      <c r="A661" s="29"/>
      <c r="B661" s="98" t="str">
        <f t="shared" si="10"/>
        <v/>
      </c>
      <c r="C661" s="29"/>
      <c r="D661" s="29"/>
      <c r="E661" s="29"/>
      <c r="F661" s="29"/>
      <c r="G661" s="29"/>
      <c r="H661" s="29"/>
      <c r="I661" s="29"/>
      <c r="J661" s="98" t="str" cm="1">
        <f t="array" ref="J661">IF(ISBLANK($C661),"",SUMPRODUCT(--(LEFT(D661:I661, 1) = "*"))*50)</f>
        <v/>
      </c>
    </row>
    <row r="662" spans="1:10" ht="27" customHeight="1">
      <c r="A662" s="29"/>
      <c r="B662" s="98" t="str">
        <f t="shared" si="10"/>
        <v/>
      </c>
      <c r="C662" s="29"/>
      <c r="D662" s="29"/>
      <c r="E662" s="29"/>
      <c r="F662" s="29"/>
      <c r="G662" s="29"/>
      <c r="H662" s="29"/>
      <c r="I662" s="29"/>
      <c r="J662" s="98" t="str" cm="1">
        <f t="array" ref="J662">IF(ISBLANK($C662),"",SUMPRODUCT(--(LEFT(D662:I662, 1) = "*"))*50)</f>
        <v/>
      </c>
    </row>
    <row r="663" spans="1:10" ht="27" customHeight="1">
      <c r="A663" s="29"/>
      <c r="B663" s="98" t="str">
        <f t="shared" si="10"/>
        <v/>
      </c>
      <c r="C663" s="29"/>
      <c r="D663" s="29"/>
      <c r="E663" s="29"/>
      <c r="F663" s="29"/>
      <c r="G663" s="29"/>
      <c r="H663" s="29"/>
      <c r="I663" s="29"/>
      <c r="J663" s="98" t="str" cm="1">
        <f t="array" ref="J663">IF(ISBLANK($C663),"",SUMPRODUCT(--(LEFT(D663:I663, 1) = "*"))*50)</f>
        <v/>
      </c>
    </row>
    <row r="664" spans="1:10" ht="27" customHeight="1">
      <c r="A664" s="29"/>
      <c r="B664" s="98" t="str">
        <f t="shared" si="10"/>
        <v/>
      </c>
      <c r="C664" s="29"/>
      <c r="D664" s="29"/>
      <c r="E664" s="29"/>
      <c r="F664" s="29"/>
      <c r="G664" s="29"/>
      <c r="H664" s="29"/>
      <c r="I664" s="29"/>
      <c r="J664" s="98" t="str" cm="1">
        <f t="array" ref="J664">IF(ISBLANK($C664),"",SUMPRODUCT(--(LEFT(D664:I664, 1) = "*"))*50)</f>
        <v/>
      </c>
    </row>
    <row r="665" spans="1:10" ht="27" customHeight="1">
      <c r="A665" s="29"/>
      <c r="B665" s="98" t="str">
        <f t="shared" si="10"/>
        <v/>
      </c>
      <c r="C665" s="29"/>
      <c r="D665" s="29"/>
      <c r="E665" s="29"/>
      <c r="F665" s="29"/>
      <c r="G665" s="29"/>
      <c r="H665" s="29"/>
      <c r="I665" s="29"/>
      <c r="J665" s="98" t="str" cm="1">
        <f t="array" ref="J665">IF(ISBLANK($C665),"",SUMPRODUCT(--(LEFT(D665:I665, 1) = "*"))*50)</f>
        <v/>
      </c>
    </row>
    <row r="666" spans="1:10" ht="27" customHeight="1">
      <c r="A666" s="29"/>
      <c r="B666" s="98" t="str">
        <f t="shared" si="10"/>
        <v/>
      </c>
      <c r="C666" s="29"/>
      <c r="D666" s="29"/>
      <c r="E666" s="29"/>
      <c r="F666" s="29"/>
      <c r="G666" s="29"/>
      <c r="H666" s="29"/>
      <c r="I666" s="29"/>
      <c r="J666" s="98" t="str" cm="1">
        <f t="array" ref="J666">IF(ISBLANK($C666),"",SUMPRODUCT(--(LEFT(D666:I666, 1) = "*"))*50)</f>
        <v/>
      </c>
    </row>
    <row r="667" spans="1:10" ht="27" customHeight="1">
      <c r="A667" s="29"/>
      <c r="B667" s="98" t="str">
        <f t="shared" si="10"/>
        <v/>
      </c>
      <c r="C667" s="29"/>
      <c r="D667" s="29"/>
      <c r="E667" s="29"/>
      <c r="F667" s="29"/>
      <c r="G667" s="29"/>
      <c r="H667" s="29"/>
      <c r="I667" s="29"/>
      <c r="J667" s="98" t="str" cm="1">
        <f t="array" ref="J667">IF(ISBLANK($C667),"",SUMPRODUCT(--(LEFT(D667:I667, 1) = "*"))*50)</f>
        <v/>
      </c>
    </row>
    <row r="668" spans="1:10" ht="27" customHeight="1">
      <c r="A668" s="29"/>
      <c r="B668" s="98" t="str">
        <f t="shared" si="10"/>
        <v/>
      </c>
      <c r="C668" s="29"/>
      <c r="D668" s="29"/>
      <c r="E668" s="29"/>
      <c r="F668" s="29"/>
      <c r="G668" s="29"/>
      <c r="H668" s="29"/>
      <c r="I668" s="29"/>
      <c r="J668" s="98" t="str" cm="1">
        <f t="array" ref="J668">IF(ISBLANK($C668),"",SUMPRODUCT(--(LEFT(D668:I668, 1) = "*"))*50)</f>
        <v/>
      </c>
    </row>
    <row r="669" spans="1:10" ht="27" customHeight="1">
      <c r="A669" s="29"/>
      <c r="B669" s="98" t="str">
        <f t="shared" si="10"/>
        <v/>
      </c>
      <c r="C669" s="29"/>
      <c r="D669" s="29"/>
      <c r="E669" s="29"/>
      <c r="F669" s="29"/>
      <c r="G669" s="29"/>
      <c r="H669" s="29"/>
      <c r="I669" s="29"/>
      <c r="J669" s="98" t="str" cm="1">
        <f t="array" ref="J669">IF(ISBLANK($C669),"",SUMPRODUCT(--(LEFT(D669:I669, 1) = "*"))*50)</f>
        <v/>
      </c>
    </row>
    <row r="670" spans="1:10" ht="27" customHeight="1">
      <c r="A670" s="29"/>
      <c r="B670" s="98" t="str">
        <f t="shared" si="10"/>
        <v/>
      </c>
      <c r="C670" s="29"/>
      <c r="D670" s="29"/>
      <c r="E670" s="29"/>
      <c r="F670" s="29"/>
      <c r="G670" s="29"/>
      <c r="H670" s="29"/>
      <c r="I670" s="29"/>
      <c r="J670" s="98" t="str" cm="1">
        <f t="array" ref="J670">IF(ISBLANK($C670),"",SUMPRODUCT(--(LEFT(D670:I670, 1) = "*"))*50)</f>
        <v/>
      </c>
    </row>
    <row r="671" spans="1:10" ht="27" customHeight="1">
      <c r="A671" s="29"/>
      <c r="B671" s="98" t="str">
        <f t="shared" si="10"/>
        <v/>
      </c>
      <c r="C671" s="29"/>
      <c r="D671" s="29"/>
      <c r="E671" s="29"/>
      <c r="F671" s="29"/>
      <c r="G671" s="29"/>
      <c r="H671" s="29"/>
      <c r="I671" s="29"/>
      <c r="J671" s="98" t="str" cm="1">
        <f t="array" ref="J671">IF(ISBLANK($C671),"",SUMPRODUCT(--(LEFT(D671:I671, 1) = "*"))*50)</f>
        <v/>
      </c>
    </row>
    <row r="672" spans="1:10" ht="27" customHeight="1">
      <c r="A672" s="29"/>
      <c r="B672" s="98" t="str">
        <f t="shared" si="10"/>
        <v/>
      </c>
      <c r="C672" s="29"/>
      <c r="D672" s="29"/>
      <c r="E672" s="29"/>
      <c r="F672" s="29"/>
      <c r="G672" s="29"/>
      <c r="H672" s="29"/>
      <c r="I672" s="29"/>
      <c r="J672" s="98" t="str" cm="1">
        <f t="array" ref="J672">IF(ISBLANK($C672),"",SUMPRODUCT(--(LEFT(D672:I672, 1) = "*"))*50)</f>
        <v/>
      </c>
    </row>
    <row r="673" spans="1:10" ht="27" customHeight="1">
      <c r="A673" s="29"/>
      <c r="B673" s="98" t="str">
        <f t="shared" si="10"/>
        <v/>
      </c>
      <c r="C673" s="29"/>
      <c r="D673" s="29"/>
      <c r="E673" s="29"/>
      <c r="F673" s="29"/>
      <c r="G673" s="29"/>
      <c r="H673" s="29"/>
      <c r="I673" s="29"/>
      <c r="J673" s="98" t="str" cm="1">
        <f t="array" ref="J673">IF(ISBLANK($C673),"",SUMPRODUCT(--(LEFT(D673:I673, 1) = "*"))*50)</f>
        <v/>
      </c>
    </row>
    <row r="674" spans="1:10" ht="27" customHeight="1">
      <c r="A674" s="29"/>
      <c r="B674" s="98" t="str">
        <f t="shared" si="10"/>
        <v/>
      </c>
      <c r="C674" s="29"/>
      <c r="D674" s="29"/>
      <c r="E674" s="29"/>
      <c r="F674" s="29"/>
      <c r="G674" s="29"/>
      <c r="H674" s="29"/>
      <c r="I674" s="29"/>
      <c r="J674" s="98" t="str" cm="1">
        <f t="array" ref="J674">IF(ISBLANK($C674),"",SUMPRODUCT(--(LEFT(D674:I674, 1) = "*"))*50)</f>
        <v/>
      </c>
    </row>
    <row r="675" spans="1:10" ht="27" customHeight="1">
      <c r="A675" s="29"/>
      <c r="B675" s="98" t="str">
        <f t="shared" si="10"/>
        <v/>
      </c>
      <c r="C675" s="29"/>
      <c r="D675" s="29"/>
      <c r="E675" s="29"/>
      <c r="F675" s="29"/>
      <c r="G675" s="29"/>
      <c r="H675" s="29"/>
      <c r="I675" s="29"/>
      <c r="J675" s="98" t="str" cm="1">
        <f t="array" ref="J675">IF(ISBLANK($C675),"",SUMPRODUCT(--(LEFT(D675:I675, 1) = "*"))*50)</f>
        <v/>
      </c>
    </row>
    <row r="676" spans="1:10" ht="27" customHeight="1">
      <c r="A676" s="29"/>
      <c r="B676" s="98" t="str">
        <f t="shared" si="10"/>
        <v/>
      </c>
      <c r="C676" s="29"/>
      <c r="D676" s="29"/>
      <c r="E676" s="29"/>
      <c r="F676" s="29"/>
      <c r="G676" s="29"/>
      <c r="H676" s="29"/>
      <c r="I676" s="29"/>
      <c r="J676" s="98" t="str" cm="1">
        <f t="array" ref="J676">IF(ISBLANK($C676),"",SUMPRODUCT(--(LEFT(D676:I676, 1) = "*"))*50)</f>
        <v/>
      </c>
    </row>
    <row r="677" spans="1:10" ht="27" customHeight="1">
      <c r="A677" s="29"/>
      <c r="B677" s="98" t="str">
        <f t="shared" si="10"/>
        <v/>
      </c>
      <c r="C677" s="29"/>
      <c r="D677" s="29"/>
      <c r="E677" s="29"/>
      <c r="F677" s="29"/>
      <c r="G677" s="29"/>
      <c r="H677" s="29"/>
      <c r="I677" s="29"/>
      <c r="J677" s="98" t="str" cm="1">
        <f t="array" ref="J677">IF(ISBLANK($C677),"",SUMPRODUCT(--(LEFT(D677:I677, 1) = "*"))*50)</f>
        <v/>
      </c>
    </row>
    <row r="678" spans="1:10" ht="27" customHeight="1">
      <c r="A678" s="29"/>
      <c r="B678" s="98" t="str">
        <f t="shared" si="10"/>
        <v/>
      </c>
      <c r="C678" s="29"/>
      <c r="D678" s="29"/>
      <c r="E678" s="29"/>
      <c r="F678" s="29"/>
      <c r="G678" s="29"/>
      <c r="H678" s="29"/>
      <c r="I678" s="29"/>
      <c r="J678" s="98" t="str" cm="1">
        <f t="array" ref="J678">IF(ISBLANK($C678),"",SUMPRODUCT(--(LEFT(D678:I678, 1) = "*"))*50)</f>
        <v/>
      </c>
    </row>
    <row r="679" spans="1:10" ht="27" customHeight="1">
      <c r="A679" s="29"/>
      <c r="B679" s="98" t="str">
        <f t="shared" si="10"/>
        <v/>
      </c>
      <c r="C679" s="29"/>
      <c r="D679" s="29"/>
      <c r="E679" s="29"/>
      <c r="F679" s="29"/>
      <c r="G679" s="29"/>
      <c r="H679" s="29"/>
      <c r="I679" s="29"/>
      <c r="J679" s="98" t="str" cm="1">
        <f t="array" ref="J679">IF(ISBLANK($C679),"",SUMPRODUCT(--(LEFT(D679:I679, 1) = "*"))*50)</f>
        <v/>
      </c>
    </row>
    <row r="680" spans="1:10" ht="27" customHeight="1">
      <c r="A680" s="29"/>
      <c r="B680" s="98" t="str">
        <f t="shared" si="10"/>
        <v/>
      </c>
      <c r="C680" s="29"/>
      <c r="D680" s="29"/>
      <c r="E680" s="29"/>
      <c r="F680" s="29"/>
      <c r="G680" s="29"/>
      <c r="H680" s="29"/>
      <c r="I680" s="29"/>
      <c r="J680" s="98" t="str" cm="1">
        <f t="array" ref="J680">IF(ISBLANK($C680),"",SUMPRODUCT(--(LEFT(D680:I680, 1) = "*"))*50)</f>
        <v/>
      </c>
    </row>
    <row r="681" spans="1:10" ht="27" customHeight="1">
      <c r="A681" s="29"/>
      <c r="B681" s="98" t="str">
        <f t="shared" si="10"/>
        <v/>
      </c>
      <c r="C681" s="29"/>
      <c r="D681" s="29"/>
      <c r="E681" s="29"/>
      <c r="F681" s="29"/>
      <c r="G681" s="29"/>
      <c r="H681" s="29"/>
      <c r="I681" s="29"/>
      <c r="J681" s="98" t="str" cm="1">
        <f t="array" ref="J681">IF(ISBLANK($C681),"",SUMPRODUCT(--(LEFT(D681:I681, 1) = "*"))*50)</f>
        <v/>
      </c>
    </row>
    <row r="682" spans="1:10" ht="27" customHeight="1">
      <c r="A682" s="29"/>
      <c r="B682" s="98" t="str">
        <f t="shared" si="10"/>
        <v/>
      </c>
      <c r="C682" s="29"/>
      <c r="D682" s="29"/>
      <c r="E682" s="29"/>
      <c r="F682" s="29"/>
      <c r="G682" s="29"/>
      <c r="H682" s="29"/>
      <c r="I682" s="29"/>
      <c r="J682" s="98" t="str" cm="1">
        <f t="array" ref="J682">IF(ISBLANK($C682),"",SUMPRODUCT(--(LEFT(D682:I682, 1) = "*"))*50)</f>
        <v/>
      </c>
    </row>
    <row r="683" spans="1:10" ht="27" customHeight="1">
      <c r="A683" s="29"/>
      <c r="B683" s="98" t="str">
        <f t="shared" si="10"/>
        <v/>
      </c>
      <c r="C683" s="29"/>
      <c r="D683" s="29"/>
      <c r="E683" s="29"/>
      <c r="F683" s="29"/>
      <c r="G683" s="29"/>
      <c r="H683" s="29"/>
      <c r="I683" s="29"/>
      <c r="J683" s="98" t="str" cm="1">
        <f t="array" ref="J683">IF(ISBLANK($C683),"",SUMPRODUCT(--(LEFT(D683:I683, 1) = "*"))*50)</f>
        <v/>
      </c>
    </row>
    <row r="684" spans="1:10" ht="27" customHeight="1">
      <c r="A684" s="29"/>
      <c r="B684" s="98" t="str">
        <f t="shared" si="10"/>
        <v/>
      </c>
      <c r="C684" s="29"/>
      <c r="D684" s="29"/>
      <c r="E684" s="29"/>
      <c r="F684" s="29"/>
      <c r="G684" s="29"/>
      <c r="H684" s="29"/>
      <c r="I684" s="29"/>
      <c r="J684" s="98" t="str" cm="1">
        <f t="array" ref="J684">IF(ISBLANK($C684),"",SUMPRODUCT(--(LEFT(D684:I684, 1) = "*"))*50)</f>
        <v/>
      </c>
    </row>
    <row r="685" spans="1:10" ht="27" customHeight="1">
      <c r="A685" s="29"/>
      <c r="B685" s="98" t="str">
        <f t="shared" si="10"/>
        <v/>
      </c>
      <c r="C685" s="29"/>
      <c r="D685" s="29"/>
      <c r="E685" s="29"/>
      <c r="F685" s="29"/>
      <c r="G685" s="29"/>
      <c r="H685" s="29"/>
      <c r="I685" s="29"/>
      <c r="J685" s="98" t="str" cm="1">
        <f t="array" ref="J685">IF(ISBLANK($C685),"",SUMPRODUCT(--(LEFT(D685:I685, 1) = "*"))*50)</f>
        <v/>
      </c>
    </row>
    <row r="686" spans="1:10" ht="27" customHeight="1">
      <c r="A686" s="29"/>
      <c r="B686" s="98" t="str">
        <f t="shared" si="10"/>
        <v/>
      </c>
      <c r="C686" s="29"/>
      <c r="D686" s="29"/>
      <c r="E686" s="29"/>
      <c r="F686" s="29"/>
      <c r="G686" s="29"/>
      <c r="H686" s="29"/>
      <c r="I686" s="29"/>
      <c r="J686" s="98" t="str" cm="1">
        <f t="array" ref="J686">IF(ISBLANK($C686),"",SUMPRODUCT(--(LEFT(D686:I686, 1) = "*"))*50)</f>
        <v/>
      </c>
    </row>
    <row r="687" spans="1:10" ht="27" customHeight="1">
      <c r="A687" s="29"/>
      <c r="B687" s="98" t="str">
        <f t="shared" si="10"/>
        <v/>
      </c>
      <c r="C687" s="29"/>
      <c r="D687" s="29"/>
      <c r="E687" s="29"/>
      <c r="F687" s="29"/>
      <c r="G687" s="29"/>
      <c r="H687" s="29"/>
      <c r="I687" s="29"/>
      <c r="J687" s="98" t="str" cm="1">
        <f t="array" ref="J687">IF(ISBLANK($C687),"",SUMPRODUCT(--(LEFT(D687:I687, 1) = "*"))*50)</f>
        <v/>
      </c>
    </row>
    <row r="688" spans="1:10" ht="27" customHeight="1">
      <c r="A688" s="29"/>
      <c r="B688" s="98" t="str">
        <f t="shared" si="10"/>
        <v/>
      </c>
      <c r="C688" s="29"/>
      <c r="D688" s="29"/>
      <c r="E688" s="29"/>
      <c r="F688" s="29"/>
      <c r="G688" s="29"/>
      <c r="H688" s="29"/>
      <c r="I688" s="29"/>
      <c r="J688" s="98" t="str" cm="1">
        <f t="array" ref="J688">IF(ISBLANK($C688),"",SUMPRODUCT(--(LEFT(D688:I688, 1) = "*"))*50)</f>
        <v/>
      </c>
    </row>
    <row r="689" spans="1:10" ht="27" customHeight="1">
      <c r="A689" s="29"/>
      <c r="B689" s="98" t="str">
        <f t="shared" si="10"/>
        <v/>
      </c>
      <c r="C689" s="29"/>
      <c r="D689" s="29"/>
      <c r="E689" s="29"/>
      <c r="F689" s="29"/>
      <c r="G689" s="29"/>
      <c r="H689" s="29"/>
      <c r="I689" s="29"/>
      <c r="J689" s="98" t="str" cm="1">
        <f t="array" ref="J689">IF(ISBLANK($C689),"",SUMPRODUCT(--(LEFT(D689:I689, 1) = "*"))*50)</f>
        <v/>
      </c>
    </row>
    <row r="690" spans="1:10" ht="27" customHeight="1">
      <c r="A690" s="29"/>
      <c r="B690" s="98" t="str">
        <f t="shared" si="10"/>
        <v/>
      </c>
      <c r="C690" s="29"/>
      <c r="D690" s="29"/>
      <c r="E690" s="29"/>
      <c r="F690" s="29"/>
      <c r="G690" s="29"/>
      <c r="H690" s="29"/>
      <c r="I690" s="29"/>
      <c r="J690" s="98" t="str" cm="1">
        <f t="array" ref="J690">IF(ISBLANK($C690),"",SUMPRODUCT(--(LEFT(D690:I690, 1) = "*"))*50)</f>
        <v/>
      </c>
    </row>
    <row r="691" spans="1:10" ht="27" customHeight="1">
      <c r="A691" s="29"/>
      <c r="B691" s="98" t="str">
        <f t="shared" si="10"/>
        <v/>
      </c>
      <c r="C691" s="29"/>
      <c r="D691" s="29"/>
      <c r="E691" s="29"/>
      <c r="F691" s="29"/>
      <c r="G691" s="29"/>
      <c r="H691" s="29"/>
      <c r="I691" s="29"/>
      <c r="J691" s="98" t="str" cm="1">
        <f t="array" ref="J691">IF(ISBLANK($C691),"",SUMPRODUCT(--(LEFT(D691:I691, 1) = "*"))*50)</f>
        <v/>
      </c>
    </row>
    <row r="692" spans="1:10" ht="27" customHeight="1">
      <c r="A692" s="29"/>
      <c r="B692" s="98" t="str">
        <f t="shared" si="10"/>
        <v/>
      </c>
      <c r="C692" s="29"/>
      <c r="D692" s="29"/>
      <c r="E692" s="29"/>
      <c r="F692" s="29"/>
      <c r="G692" s="29"/>
      <c r="H692" s="29"/>
      <c r="I692" s="29"/>
      <c r="J692" s="98" t="str" cm="1">
        <f t="array" ref="J692">IF(ISBLANK($C692),"",SUMPRODUCT(--(LEFT(D692:I692, 1) = "*"))*50)</f>
        <v/>
      </c>
    </row>
    <row r="693" spans="1:10" ht="27" customHeight="1">
      <c r="A693" s="29"/>
      <c r="B693" s="98" t="str">
        <f t="shared" si="10"/>
        <v/>
      </c>
      <c r="C693" s="29"/>
      <c r="D693" s="29"/>
      <c r="E693" s="29"/>
      <c r="F693" s="29"/>
      <c r="G693" s="29"/>
      <c r="H693" s="29"/>
      <c r="I693" s="29"/>
      <c r="J693" s="98" t="str" cm="1">
        <f t="array" ref="J693">IF(ISBLANK($C693),"",SUMPRODUCT(--(LEFT(D693:I693, 1) = "*"))*50)</f>
        <v/>
      </c>
    </row>
    <row r="694" spans="1:10" ht="27" customHeight="1">
      <c r="A694" s="29"/>
      <c r="B694" s="98" t="str">
        <f t="shared" si="10"/>
        <v/>
      </c>
      <c r="C694" s="29"/>
      <c r="D694" s="29"/>
      <c r="E694" s="29"/>
      <c r="F694" s="29"/>
      <c r="G694" s="29"/>
      <c r="H694" s="29"/>
      <c r="I694" s="29"/>
      <c r="J694" s="98" t="str" cm="1">
        <f t="array" ref="J694">IF(ISBLANK($C694),"",SUMPRODUCT(--(LEFT(D694:I694, 1) = "*"))*50)</f>
        <v/>
      </c>
    </row>
    <row r="695" spans="1:10" ht="27" customHeight="1">
      <c r="A695" s="29"/>
      <c r="B695" s="98" t="str">
        <f t="shared" si="10"/>
        <v/>
      </c>
      <c r="C695" s="29"/>
      <c r="D695" s="29"/>
      <c r="E695" s="29"/>
      <c r="F695" s="29"/>
      <c r="G695" s="29"/>
      <c r="H695" s="29"/>
      <c r="I695" s="29"/>
      <c r="J695" s="98" t="str" cm="1">
        <f t="array" ref="J695">IF(ISBLANK($C695),"",SUMPRODUCT(--(LEFT(D695:I695, 1) = "*"))*50)</f>
        <v/>
      </c>
    </row>
    <row r="696" spans="1:10" ht="27" customHeight="1">
      <c r="A696" s="29"/>
      <c r="B696" s="98" t="str">
        <f t="shared" si="10"/>
        <v/>
      </c>
      <c r="C696" s="29"/>
      <c r="D696" s="29"/>
      <c r="E696" s="29"/>
      <c r="F696" s="29"/>
      <c r="G696" s="29"/>
      <c r="H696" s="29"/>
      <c r="I696" s="29"/>
      <c r="J696" s="98" t="str" cm="1">
        <f t="array" ref="J696">IF(ISBLANK($C696),"",SUMPRODUCT(--(LEFT(D696:I696, 1) = "*"))*50)</f>
        <v/>
      </c>
    </row>
    <row r="697" spans="1:10" ht="27" customHeight="1">
      <c r="A697" s="29"/>
      <c r="B697" s="98" t="str">
        <f t="shared" si="10"/>
        <v/>
      </c>
      <c r="C697" s="29"/>
      <c r="D697" s="29"/>
      <c r="E697" s="29"/>
      <c r="F697" s="29"/>
      <c r="G697" s="29"/>
      <c r="H697" s="29"/>
      <c r="I697" s="29"/>
      <c r="J697" s="98" t="str" cm="1">
        <f t="array" ref="J697">IF(ISBLANK($C697),"",SUMPRODUCT(--(LEFT(D697:I697, 1) = "*"))*50)</f>
        <v/>
      </c>
    </row>
    <row r="698" spans="1:10" ht="27" customHeight="1">
      <c r="A698" s="29"/>
      <c r="B698" s="98" t="str">
        <f t="shared" si="10"/>
        <v/>
      </c>
      <c r="C698" s="29"/>
      <c r="D698" s="29"/>
      <c r="E698" s="29"/>
      <c r="F698" s="29"/>
      <c r="G698" s="29"/>
      <c r="H698" s="29"/>
      <c r="I698" s="29"/>
      <c r="J698" s="98" t="str" cm="1">
        <f t="array" ref="J698">IF(ISBLANK($C698),"",SUMPRODUCT(--(LEFT(D698:I698, 1) = "*"))*50)</f>
        <v/>
      </c>
    </row>
    <row r="699" spans="1:10" ht="27" customHeight="1">
      <c r="A699" s="29"/>
      <c r="B699" s="98" t="str">
        <f t="shared" si="10"/>
        <v/>
      </c>
      <c r="C699" s="29"/>
      <c r="D699" s="29"/>
      <c r="E699" s="29"/>
      <c r="F699" s="29"/>
      <c r="G699" s="29"/>
      <c r="H699" s="29"/>
      <c r="I699" s="29"/>
      <c r="J699" s="98" t="str" cm="1">
        <f t="array" ref="J699">IF(ISBLANK($C699),"",SUMPRODUCT(--(LEFT(D699:I699, 1) = "*"))*50)</f>
        <v/>
      </c>
    </row>
    <row r="700" spans="1:10" ht="27" customHeight="1">
      <c r="A700" s="29"/>
      <c r="B700" s="98" t="str">
        <f t="shared" si="10"/>
        <v/>
      </c>
      <c r="C700" s="29"/>
      <c r="D700" s="29"/>
      <c r="E700" s="29"/>
      <c r="F700" s="29"/>
      <c r="G700" s="29"/>
      <c r="H700" s="29"/>
      <c r="I700" s="29"/>
      <c r="J700" s="98" t="str" cm="1">
        <f t="array" ref="J700">IF(ISBLANK($C700),"",SUMPRODUCT(--(LEFT(D700:I700, 1) = "*"))*50)</f>
        <v/>
      </c>
    </row>
    <row r="701" spans="1:10" ht="27" customHeight="1">
      <c r="A701" s="29"/>
      <c r="B701" s="98" t="str">
        <f t="shared" si="10"/>
        <v/>
      </c>
      <c r="C701" s="29"/>
      <c r="D701" s="29"/>
      <c r="E701" s="29"/>
      <c r="F701" s="29"/>
      <c r="G701" s="29"/>
      <c r="H701" s="29"/>
      <c r="I701" s="29"/>
      <c r="J701" s="98" t="str" cm="1">
        <f t="array" ref="J701">IF(ISBLANK($C701),"",SUMPRODUCT(--(LEFT(D701:I701, 1) = "*"))*50)</f>
        <v/>
      </c>
    </row>
    <row r="702" spans="1:10" ht="27" customHeight="1">
      <c r="A702" s="29"/>
      <c r="B702" s="98" t="str">
        <f t="shared" si="10"/>
        <v/>
      </c>
      <c r="C702" s="29"/>
      <c r="D702" s="29"/>
      <c r="E702" s="29"/>
      <c r="F702" s="29"/>
      <c r="G702" s="29"/>
      <c r="H702" s="29"/>
      <c r="I702" s="29"/>
      <c r="J702" s="98" t="str" cm="1">
        <f t="array" ref="J702">IF(ISBLANK($C702),"",SUMPRODUCT(--(LEFT(D702:I702, 1) = "*"))*50)</f>
        <v/>
      </c>
    </row>
    <row r="703" spans="1:10" ht="27" customHeight="1">
      <c r="A703" s="29"/>
      <c r="B703" s="98" t="str">
        <f t="shared" si="10"/>
        <v/>
      </c>
      <c r="C703" s="29"/>
      <c r="D703" s="29"/>
      <c r="E703" s="29"/>
      <c r="F703" s="29"/>
      <c r="G703" s="29"/>
      <c r="H703" s="29"/>
      <c r="I703" s="29"/>
      <c r="J703" s="98" t="str" cm="1">
        <f t="array" ref="J703">IF(ISBLANK($C703),"",SUMPRODUCT(--(LEFT(D703:I703, 1) = "*"))*50)</f>
        <v/>
      </c>
    </row>
    <row r="704" spans="1:10" ht="27" customHeight="1">
      <c r="A704" s="29"/>
      <c r="B704" s="98" t="str">
        <f t="shared" si="10"/>
        <v/>
      </c>
      <c r="C704" s="29"/>
      <c r="D704" s="29"/>
      <c r="E704" s="29"/>
      <c r="F704" s="29"/>
      <c r="G704" s="29"/>
      <c r="H704" s="29"/>
      <c r="I704" s="29"/>
      <c r="J704" s="98" t="str" cm="1">
        <f t="array" ref="J704">IF(ISBLANK($C704),"",SUMPRODUCT(--(LEFT(D704:I704, 1) = "*"))*50)</f>
        <v/>
      </c>
    </row>
    <row r="705" spans="1:10" ht="27" customHeight="1">
      <c r="A705" s="29"/>
      <c r="B705" s="98" t="str">
        <f t="shared" si="10"/>
        <v/>
      </c>
      <c r="C705" s="29"/>
      <c r="D705" s="29"/>
      <c r="E705" s="29"/>
      <c r="F705" s="29"/>
      <c r="G705" s="29"/>
      <c r="H705" s="29"/>
      <c r="I705" s="29"/>
      <c r="J705" s="98" t="str" cm="1">
        <f t="array" ref="J705">IF(ISBLANK($C705),"",SUMPRODUCT(--(LEFT(D705:I705, 1) = "*"))*50)</f>
        <v/>
      </c>
    </row>
    <row r="706" spans="1:10" ht="27" customHeight="1">
      <c r="A706" s="29"/>
      <c r="B706" s="98" t="str">
        <f t="shared" si="10"/>
        <v/>
      </c>
      <c r="C706" s="29"/>
      <c r="D706" s="29"/>
      <c r="E706" s="29"/>
      <c r="F706" s="29"/>
      <c r="G706" s="29"/>
      <c r="H706" s="29"/>
      <c r="I706" s="29"/>
      <c r="J706" s="98" t="str" cm="1">
        <f t="array" ref="J706">IF(ISBLANK($C706),"",SUMPRODUCT(--(LEFT(D706:I706, 1) = "*"))*50)</f>
        <v/>
      </c>
    </row>
    <row r="707" spans="1:10" ht="27" customHeight="1">
      <c r="A707" s="29"/>
      <c r="B707" s="98" t="str">
        <f t="shared" ref="B707:B770" si="11">IF(ISBLANK($C707),"","MCQ")</f>
        <v/>
      </c>
      <c r="C707" s="29"/>
      <c r="D707" s="29"/>
      <c r="E707" s="29"/>
      <c r="F707" s="29"/>
      <c r="G707" s="29"/>
      <c r="H707" s="29"/>
      <c r="I707" s="29"/>
      <c r="J707" s="98" t="str" cm="1">
        <f t="array" ref="J707">IF(ISBLANK($C707),"",SUMPRODUCT(--(LEFT(D707:I707, 1) = "*"))*50)</f>
        <v/>
      </c>
    </row>
    <row r="708" spans="1:10" ht="27" customHeight="1">
      <c r="A708" s="29"/>
      <c r="B708" s="98" t="str">
        <f t="shared" si="11"/>
        <v/>
      </c>
      <c r="C708" s="29"/>
      <c r="D708" s="29"/>
      <c r="E708" s="29"/>
      <c r="F708" s="29"/>
      <c r="G708" s="29"/>
      <c r="H708" s="29"/>
      <c r="I708" s="29"/>
      <c r="J708" s="98" t="str" cm="1">
        <f t="array" ref="J708">IF(ISBLANK($C708),"",SUMPRODUCT(--(LEFT(D708:I708, 1) = "*"))*50)</f>
        <v/>
      </c>
    </row>
    <row r="709" spans="1:10" ht="27" customHeight="1">
      <c r="A709" s="29"/>
      <c r="B709" s="98" t="str">
        <f t="shared" si="11"/>
        <v/>
      </c>
      <c r="C709" s="29"/>
      <c r="D709" s="29"/>
      <c r="E709" s="29"/>
      <c r="F709" s="29"/>
      <c r="G709" s="29"/>
      <c r="H709" s="29"/>
      <c r="I709" s="29"/>
      <c r="J709" s="98" t="str" cm="1">
        <f t="array" ref="J709">IF(ISBLANK($C709),"",SUMPRODUCT(--(LEFT(D709:I709, 1) = "*"))*50)</f>
        <v/>
      </c>
    </row>
    <row r="710" spans="1:10" ht="27" customHeight="1">
      <c r="A710" s="29"/>
      <c r="B710" s="98" t="str">
        <f t="shared" si="11"/>
        <v/>
      </c>
      <c r="C710" s="29"/>
      <c r="D710" s="29"/>
      <c r="E710" s="29"/>
      <c r="F710" s="29"/>
      <c r="G710" s="29"/>
      <c r="H710" s="29"/>
      <c r="I710" s="29"/>
      <c r="J710" s="98" t="str" cm="1">
        <f t="array" ref="J710">IF(ISBLANK($C710),"",SUMPRODUCT(--(LEFT(D710:I710, 1) = "*"))*50)</f>
        <v/>
      </c>
    </row>
    <row r="711" spans="1:10" ht="27" customHeight="1">
      <c r="A711" s="29"/>
      <c r="B711" s="98" t="str">
        <f t="shared" si="11"/>
        <v/>
      </c>
      <c r="C711" s="29"/>
      <c r="D711" s="29"/>
      <c r="E711" s="29"/>
      <c r="F711" s="29"/>
      <c r="G711" s="29"/>
      <c r="H711" s="29"/>
      <c r="I711" s="29"/>
      <c r="J711" s="98" t="str" cm="1">
        <f t="array" ref="J711">IF(ISBLANK($C711),"",SUMPRODUCT(--(LEFT(D711:I711, 1) = "*"))*50)</f>
        <v/>
      </c>
    </row>
    <row r="712" spans="1:10" ht="27" customHeight="1">
      <c r="A712" s="29"/>
      <c r="B712" s="98" t="str">
        <f t="shared" si="11"/>
        <v/>
      </c>
      <c r="C712" s="29"/>
      <c r="D712" s="29"/>
      <c r="E712" s="29"/>
      <c r="F712" s="29"/>
      <c r="G712" s="29"/>
      <c r="H712" s="29"/>
      <c r="I712" s="29"/>
      <c r="J712" s="98" t="str" cm="1">
        <f t="array" ref="J712">IF(ISBLANK($C712),"",SUMPRODUCT(--(LEFT(D712:I712, 1) = "*"))*50)</f>
        <v/>
      </c>
    </row>
    <row r="713" spans="1:10" ht="27" customHeight="1">
      <c r="A713" s="29"/>
      <c r="B713" s="98" t="str">
        <f t="shared" si="11"/>
        <v/>
      </c>
      <c r="C713" s="29"/>
      <c r="D713" s="29"/>
      <c r="E713" s="29"/>
      <c r="F713" s="29"/>
      <c r="G713" s="29"/>
      <c r="H713" s="29"/>
      <c r="I713" s="29"/>
      <c r="J713" s="98" t="str" cm="1">
        <f t="array" ref="J713">IF(ISBLANK($C713),"",SUMPRODUCT(--(LEFT(D713:I713, 1) = "*"))*50)</f>
        <v/>
      </c>
    </row>
    <row r="714" spans="1:10" ht="27" customHeight="1">
      <c r="A714" s="29"/>
      <c r="B714" s="98" t="str">
        <f t="shared" si="11"/>
        <v/>
      </c>
      <c r="C714" s="29"/>
      <c r="D714" s="29"/>
      <c r="E714" s="29"/>
      <c r="F714" s="29"/>
      <c r="G714" s="29"/>
      <c r="H714" s="29"/>
      <c r="I714" s="29"/>
      <c r="J714" s="98" t="str" cm="1">
        <f t="array" ref="J714">IF(ISBLANK($C714),"",SUMPRODUCT(--(LEFT(D714:I714, 1) = "*"))*50)</f>
        <v/>
      </c>
    </row>
    <row r="715" spans="1:10" ht="27" customHeight="1">
      <c r="A715" s="29"/>
      <c r="B715" s="98" t="str">
        <f t="shared" si="11"/>
        <v/>
      </c>
      <c r="C715" s="29"/>
      <c r="D715" s="29"/>
      <c r="E715" s="29"/>
      <c r="F715" s="29"/>
      <c r="G715" s="29"/>
      <c r="H715" s="29"/>
      <c r="I715" s="29"/>
      <c r="J715" s="98" t="str" cm="1">
        <f t="array" ref="J715">IF(ISBLANK($C715),"",SUMPRODUCT(--(LEFT(D715:I715, 1) = "*"))*50)</f>
        <v/>
      </c>
    </row>
    <row r="716" spans="1:10" ht="27" customHeight="1">
      <c r="A716" s="29"/>
      <c r="B716" s="98" t="str">
        <f t="shared" si="11"/>
        <v/>
      </c>
      <c r="C716" s="29"/>
      <c r="D716" s="29"/>
      <c r="E716" s="29"/>
      <c r="F716" s="29"/>
      <c r="G716" s="29"/>
      <c r="H716" s="29"/>
      <c r="I716" s="29"/>
      <c r="J716" s="98" t="str" cm="1">
        <f t="array" ref="J716">IF(ISBLANK($C716),"",SUMPRODUCT(--(LEFT(D716:I716, 1) = "*"))*50)</f>
        <v/>
      </c>
    </row>
    <row r="717" spans="1:10" ht="27" customHeight="1">
      <c r="A717" s="29"/>
      <c r="B717" s="98" t="str">
        <f t="shared" si="11"/>
        <v/>
      </c>
      <c r="C717" s="29"/>
      <c r="D717" s="29"/>
      <c r="E717" s="29"/>
      <c r="F717" s="29"/>
      <c r="G717" s="29"/>
      <c r="H717" s="29"/>
      <c r="I717" s="29"/>
      <c r="J717" s="98" t="str" cm="1">
        <f t="array" ref="J717">IF(ISBLANK($C717),"",SUMPRODUCT(--(LEFT(D717:I717, 1) = "*"))*50)</f>
        <v/>
      </c>
    </row>
    <row r="718" spans="1:10" ht="27" customHeight="1">
      <c r="A718" s="29"/>
      <c r="B718" s="98" t="str">
        <f t="shared" si="11"/>
        <v/>
      </c>
      <c r="C718" s="29"/>
      <c r="D718" s="29"/>
      <c r="E718" s="29"/>
      <c r="F718" s="29"/>
      <c r="G718" s="29"/>
      <c r="H718" s="29"/>
      <c r="I718" s="29"/>
      <c r="J718" s="98" t="str" cm="1">
        <f t="array" ref="J718">IF(ISBLANK($C718),"",SUMPRODUCT(--(LEFT(D718:I718, 1) = "*"))*50)</f>
        <v/>
      </c>
    </row>
    <row r="719" spans="1:10" ht="27" customHeight="1">
      <c r="A719" s="29"/>
      <c r="B719" s="98" t="str">
        <f t="shared" si="11"/>
        <v/>
      </c>
      <c r="C719" s="29"/>
      <c r="D719" s="29"/>
      <c r="E719" s="29"/>
      <c r="F719" s="29"/>
      <c r="G719" s="29"/>
      <c r="H719" s="29"/>
      <c r="I719" s="29"/>
      <c r="J719" s="98" t="str" cm="1">
        <f t="array" ref="J719">IF(ISBLANK($C719),"",SUMPRODUCT(--(LEFT(D719:I719, 1) = "*"))*50)</f>
        <v/>
      </c>
    </row>
    <row r="720" spans="1:10" ht="27" customHeight="1">
      <c r="A720" s="29"/>
      <c r="B720" s="98" t="str">
        <f t="shared" si="11"/>
        <v/>
      </c>
      <c r="C720" s="29"/>
      <c r="D720" s="29"/>
      <c r="E720" s="29"/>
      <c r="F720" s="29"/>
      <c r="G720" s="29"/>
      <c r="H720" s="29"/>
      <c r="I720" s="29"/>
      <c r="J720" s="98" t="str" cm="1">
        <f t="array" ref="J720">IF(ISBLANK($C720),"",SUMPRODUCT(--(LEFT(D720:I720, 1) = "*"))*50)</f>
        <v/>
      </c>
    </row>
    <row r="721" spans="1:10" ht="27" customHeight="1">
      <c r="A721" s="29"/>
      <c r="B721" s="98" t="str">
        <f t="shared" si="11"/>
        <v/>
      </c>
      <c r="C721" s="29"/>
      <c r="D721" s="29"/>
      <c r="E721" s="29"/>
      <c r="F721" s="29"/>
      <c r="G721" s="29"/>
      <c r="H721" s="29"/>
      <c r="I721" s="29"/>
      <c r="J721" s="98" t="str" cm="1">
        <f t="array" ref="J721">IF(ISBLANK($C721),"",SUMPRODUCT(--(LEFT(D721:I721, 1) = "*"))*50)</f>
        <v/>
      </c>
    </row>
    <row r="722" spans="1:10" ht="27" customHeight="1">
      <c r="A722" s="29"/>
      <c r="B722" s="98" t="str">
        <f t="shared" si="11"/>
        <v/>
      </c>
      <c r="C722" s="29"/>
      <c r="D722" s="29"/>
      <c r="E722" s="29"/>
      <c r="F722" s="29"/>
      <c r="G722" s="29"/>
      <c r="H722" s="29"/>
      <c r="I722" s="29"/>
      <c r="J722" s="98" t="str" cm="1">
        <f t="array" ref="J722">IF(ISBLANK($C722),"",SUMPRODUCT(--(LEFT(D722:I722, 1) = "*"))*50)</f>
        <v/>
      </c>
    </row>
    <row r="723" spans="1:10" ht="27" customHeight="1">
      <c r="A723" s="29"/>
      <c r="B723" s="98" t="str">
        <f t="shared" si="11"/>
        <v/>
      </c>
      <c r="C723" s="29"/>
      <c r="D723" s="29"/>
      <c r="E723" s="29"/>
      <c r="F723" s="29"/>
      <c r="G723" s="29"/>
      <c r="H723" s="29"/>
      <c r="I723" s="29"/>
      <c r="J723" s="98" t="str" cm="1">
        <f t="array" ref="J723">IF(ISBLANK($C723),"",SUMPRODUCT(--(LEFT(D723:I723, 1) = "*"))*50)</f>
        <v/>
      </c>
    </row>
    <row r="724" spans="1:10" ht="27" customHeight="1">
      <c r="A724" s="29"/>
      <c r="B724" s="98" t="str">
        <f t="shared" si="11"/>
        <v/>
      </c>
      <c r="C724" s="29"/>
      <c r="D724" s="29"/>
      <c r="E724" s="29"/>
      <c r="F724" s="29"/>
      <c r="G724" s="29"/>
      <c r="H724" s="29"/>
      <c r="I724" s="29"/>
      <c r="J724" s="98" t="str" cm="1">
        <f t="array" ref="J724">IF(ISBLANK($C724),"",SUMPRODUCT(--(LEFT(D724:I724, 1) = "*"))*50)</f>
        <v/>
      </c>
    </row>
    <row r="725" spans="1:10" ht="27" customHeight="1">
      <c r="A725" s="29"/>
      <c r="B725" s="98" t="str">
        <f t="shared" si="11"/>
        <v/>
      </c>
      <c r="C725" s="29"/>
      <c r="D725" s="29"/>
      <c r="E725" s="29"/>
      <c r="F725" s="29"/>
      <c r="G725" s="29"/>
      <c r="H725" s="29"/>
      <c r="I725" s="29"/>
      <c r="J725" s="98" t="str" cm="1">
        <f t="array" ref="J725">IF(ISBLANK($C725),"",SUMPRODUCT(--(LEFT(D725:I725, 1) = "*"))*50)</f>
        <v/>
      </c>
    </row>
    <row r="726" spans="1:10" ht="27" customHeight="1">
      <c r="A726" s="29"/>
      <c r="B726" s="98" t="str">
        <f t="shared" si="11"/>
        <v/>
      </c>
      <c r="C726" s="29"/>
      <c r="D726" s="29"/>
      <c r="E726" s="29"/>
      <c r="F726" s="29"/>
      <c r="G726" s="29"/>
      <c r="H726" s="29"/>
      <c r="I726" s="29"/>
      <c r="J726" s="98" t="str" cm="1">
        <f t="array" ref="J726">IF(ISBLANK($C726),"",SUMPRODUCT(--(LEFT(D726:I726, 1) = "*"))*50)</f>
        <v/>
      </c>
    </row>
    <row r="727" spans="1:10" ht="27" customHeight="1">
      <c r="A727" s="29"/>
      <c r="B727" s="98" t="str">
        <f t="shared" si="11"/>
        <v/>
      </c>
      <c r="C727" s="29"/>
      <c r="D727" s="29"/>
      <c r="E727" s="29"/>
      <c r="F727" s="29"/>
      <c r="G727" s="29"/>
      <c r="H727" s="29"/>
      <c r="I727" s="29"/>
      <c r="J727" s="98" t="str" cm="1">
        <f t="array" ref="J727">IF(ISBLANK($C727),"",SUMPRODUCT(--(LEFT(D727:I727, 1) = "*"))*50)</f>
        <v/>
      </c>
    </row>
    <row r="728" spans="1:10" ht="27" customHeight="1">
      <c r="A728" s="29"/>
      <c r="B728" s="98" t="str">
        <f t="shared" si="11"/>
        <v/>
      </c>
      <c r="C728" s="29"/>
      <c r="D728" s="29"/>
      <c r="E728" s="29"/>
      <c r="F728" s="29"/>
      <c r="G728" s="29"/>
      <c r="H728" s="29"/>
      <c r="I728" s="29"/>
      <c r="J728" s="98" t="str" cm="1">
        <f t="array" ref="J728">IF(ISBLANK($C728),"",SUMPRODUCT(--(LEFT(D728:I728, 1) = "*"))*50)</f>
        <v/>
      </c>
    </row>
    <row r="729" spans="1:10" ht="27" customHeight="1">
      <c r="A729" s="29"/>
      <c r="B729" s="98" t="str">
        <f t="shared" si="11"/>
        <v/>
      </c>
      <c r="C729" s="29"/>
      <c r="D729" s="29"/>
      <c r="E729" s="29"/>
      <c r="F729" s="29"/>
      <c r="G729" s="29"/>
      <c r="H729" s="29"/>
      <c r="I729" s="29"/>
      <c r="J729" s="98" t="str" cm="1">
        <f t="array" ref="J729">IF(ISBLANK($C729),"",SUMPRODUCT(--(LEFT(D729:I729, 1) = "*"))*50)</f>
        <v/>
      </c>
    </row>
    <row r="730" spans="1:10" ht="27" customHeight="1">
      <c r="A730" s="29"/>
      <c r="B730" s="98" t="str">
        <f t="shared" si="11"/>
        <v/>
      </c>
      <c r="C730" s="29"/>
      <c r="D730" s="29"/>
      <c r="E730" s="29"/>
      <c r="F730" s="29"/>
      <c r="G730" s="29"/>
      <c r="H730" s="29"/>
      <c r="I730" s="29"/>
      <c r="J730" s="98" t="str" cm="1">
        <f t="array" ref="J730">IF(ISBLANK($C730),"",SUMPRODUCT(--(LEFT(D730:I730, 1) = "*"))*50)</f>
        <v/>
      </c>
    </row>
    <row r="731" spans="1:10" ht="27" customHeight="1">
      <c r="A731" s="29"/>
      <c r="B731" s="98" t="str">
        <f t="shared" si="11"/>
        <v/>
      </c>
      <c r="C731" s="29"/>
      <c r="D731" s="29"/>
      <c r="E731" s="29"/>
      <c r="F731" s="29"/>
      <c r="G731" s="29"/>
      <c r="H731" s="29"/>
      <c r="I731" s="29"/>
      <c r="J731" s="98" t="str" cm="1">
        <f t="array" ref="J731">IF(ISBLANK($C731),"",SUMPRODUCT(--(LEFT(D731:I731, 1) = "*"))*50)</f>
        <v/>
      </c>
    </row>
    <row r="732" spans="1:10" ht="27" customHeight="1">
      <c r="A732" s="29"/>
      <c r="B732" s="98" t="str">
        <f t="shared" si="11"/>
        <v/>
      </c>
      <c r="C732" s="29"/>
      <c r="D732" s="29"/>
      <c r="E732" s="29"/>
      <c r="F732" s="29"/>
      <c r="G732" s="29"/>
      <c r="H732" s="29"/>
      <c r="I732" s="29"/>
      <c r="J732" s="98" t="str" cm="1">
        <f t="array" ref="J732">IF(ISBLANK($C732),"",SUMPRODUCT(--(LEFT(D732:I732, 1) = "*"))*50)</f>
        <v/>
      </c>
    </row>
    <row r="733" spans="1:10" ht="27" customHeight="1">
      <c r="A733" s="29"/>
      <c r="B733" s="98" t="str">
        <f t="shared" si="11"/>
        <v/>
      </c>
      <c r="C733" s="29"/>
      <c r="D733" s="29"/>
      <c r="E733" s="29"/>
      <c r="F733" s="29"/>
      <c r="G733" s="29"/>
      <c r="H733" s="29"/>
      <c r="I733" s="29"/>
      <c r="J733" s="98" t="str" cm="1">
        <f t="array" ref="J733">IF(ISBLANK($C733),"",SUMPRODUCT(--(LEFT(D733:I733, 1) = "*"))*50)</f>
        <v/>
      </c>
    </row>
    <row r="734" spans="1:10" ht="27" customHeight="1">
      <c r="A734" s="29"/>
      <c r="B734" s="98" t="str">
        <f t="shared" si="11"/>
        <v/>
      </c>
      <c r="C734" s="29"/>
      <c r="D734" s="29"/>
      <c r="E734" s="29"/>
      <c r="F734" s="29"/>
      <c r="G734" s="29"/>
      <c r="H734" s="29"/>
      <c r="I734" s="29"/>
      <c r="J734" s="98" t="str" cm="1">
        <f t="array" ref="J734">IF(ISBLANK($C734),"",SUMPRODUCT(--(LEFT(D734:I734, 1) = "*"))*50)</f>
        <v/>
      </c>
    </row>
    <row r="735" spans="1:10" ht="27" customHeight="1">
      <c r="A735" s="29"/>
      <c r="B735" s="98" t="str">
        <f t="shared" si="11"/>
        <v/>
      </c>
      <c r="C735" s="29"/>
      <c r="D735" s="29"/>
      <c r="E735" s="29"/>
      <c r="F735" s="29"/>
      <c r="G735" s="29"/>
      <c r="H735" s="29"/>
      <c r="I735" s="29"/>
      <c r="J735" s="98" t="str" cm="1">
        <f t="array" ref="J735">IF(ISBLANK($C735),"",SUMPRODUCT(--(LEFT(D735:I735, 1) = "*"))*50)</f>
        <v/>
      </c>
    </row>
    <row r="736" spans="1:10" ht="27" customHeight="1">
      <c r="A736" s="29"/>
      <c r="B736" s="98" t="str">
        <f t="shared" si="11"/>
        <v/>
      </c>
      <c r="C736" s="29"/>
      <c r="D736" s="29"/>
      <c r="E736" s="29"/>
      <c r="F736" s="29"/>
      <c r="G736" s="29"/>
      <c r="H736" s="29"/>
      <c r="I736" s="29"/>
      <c r="J736" s="98" t="str" cm="1">
        <f t="array" ref="J736">IF(ISBLANK($C736),"",SUMPRODUCT(--(LEFT(D736:I736, 1) = "*"))*50)</f>
        <v/>
      </c>
    </row>
    <row r="737" spans="1:10" ht="27" customHeight="1">
      <c r="A737" s="29"/>
      <c r="B737" s="98" t="str">
        <f t="shared" si="11"/>
        <v/>
      </c>
      <c r="C737" s="29"/>
      <c r="D737" s="29"/>
      <c r="E737" s="29"/>
      <c r="F737" s="29"/>
      <c r="G737" s="29"/>
      <c r="H737" s="29"/>
      <c r="I737" s="29"/>
      <c r="J737" s="98" t="str" cm="1">
        <f t="array" ref="J737">IF(ISBLANK($C737),"",SUMPRODUCT(--(LEFT(D737:I737, 1) = "*"))*50)</f>
        <v/>
      </c>
    </row>
    <row r="738" spans="1:10" ht="27" customHeight="1">
      <c r="A738" s="29"/>
      <c r="B738" s="98" t="str">
        <f t="shared" si="11"/>
        <v/>
      </c>
      <c r="C738" s="29"/>
      <c r="D738" s="29"/>
      <c r="E738" s="29"/>
      <c r="F738" s="29"/>
      <c r="G738" s="29"/>
      <c r="H738" s="29"/>
      <c r="I738" s="29"/>
      <c r="J738" s="98" t="str" cm="1">
        <f t="array" ref="J738">IF(ISBLANK($C738),"",SUMPRODUCT(--(LEFT(D738:I738, 1) = "*"))*50)</f>
        <v/>
      </c>
    </row>
    <row r="739" spans="1:10" ht="27" customHeight="1">
      <c r="A739" s="29"/>
      <c r="B739" s="98" t="str">
        <f t="shared" si="11"/>
        <v/>
      </c>
      <c r="C739" s="29"/>
      <c r="D739" s="29"/>
      <c r="E739" s="29"/>
      <c r="F739" s="29"/>
      <c r="G739" s="29"/>
      <c r="H739" s="29"/>
      <c r="I739" s="29"/>
      <c r="J739" s="98" t="str" cm="1">
        <f t="array" ref="J739">IF(ISBLANK($C739),"",SUMPRODUCT(--(LEFT(D739:I739, 1) = "*"))*50)</f>
        <v/>
      </c>
    </row>
    <row r="740" spans="1:10" ht="27" customHeight="1">
      <c r="A740" s="29"/>
      <c r="B740" s="98" t="str">
        <f t="shared" si="11"/>
        <v/>
      </c>
      <c r="C740" s="29"/>
      <c r="D740" s="29"/>
      <c r="E740" s="29"/>
      <c r="F740" s="29"/>
      <c r="G740" s="29"/>
      <c r="H740" s="29"/>
      <c r="I740" s="29"/>
      <c r="J740" s="98" t="str" cm="1">
        <f t="array" ref="J740">IF(ISBLANK($C740),"",SUMPRODUCT(--(LEFT(D740:I740, 1) = "*"))*50)</f>
        <v/>
      </c>
    </row>
    <row r="741" spans="1:10" ht="27" customHeight="1">
      <c r="A741" s="29"/>
      <c r="B741" s="98" t="str">
        <f t="shared" si="11"/>
        <v/>
      </c>
      <c r="C741" s="29"/>
      <c r="D741" s="29"/>
      <c r="E741" s="29"/>
      <c r="F741" s="29"/>
      <c r="G741" s="29"/>
      <c r="H741" s="29"/>
      <c r="I741" s="29"/>
      <c r="J741" s="98" t="str" cm="1">
        <f t="array" ref="J741">IF(ISBLANK($C741),"",SUMPRODUCT(--(LEFT(D741:I741, 1) = "*"))*50)</f>
        <v/>
      </c>
    </row>
    <row r="742" spans="1:10" ht="27" customHeight="1">
      <c r="A742" s="29"/>
      <c r="B742" s="98" t="str">
        <f t="shared" si="11"/>
        <v/>
      </c>
      <c r="C742" s="29"/>
      <c r="D742" s="29"/>
      <c r="E742" s="29"/>
      <c r="F742" s="29"/>
      <c r="G742" s="29"/>
      <c r="H742" s="29"/>
      <c r="I742" s="29"/>
      <c r="J742" s="98" t="str" cm="1">
        <f t="array" ref="J742">IF(ISBLANK($C742),"",SUMPRODUCT(--(LEFT(D742:I742, 1) = "*"))*50)</f>
        <v/>
      </c>
    </row>
    <row r="743" spans="1:10" ht="27" customHeight="1">
      <c r="A743" s="29"/>
      <c r="B743" s="98" t="str">
        <f t="shared" si="11"/>
        <v/>
      </c>
      <c r="C743" s="29"/>
      <c r="D743" s="29"/>
      <c r="E743" s="29"/>
      <c r="F743" s="29"/>
      <c r="G743" s="29"/>
      <c r="H743" s="29"/>
      <c r="I743" s="29"/>
      <c r="J743" s="98" t="str" cm="1">
        <f t="array" ref="J743">IF(ISBLANK($C743),"",SUMPRODUCT(--(LEFT(D743:I743, 1) = "*"))*50)</f>
        <v/>
      </c>
    </row>
    <row r="744" spans="1:10" ht="27" customHeight="1">
      <c r="A744" s="29"/>
      <c r="B744" s="98" t="str">
        <f t="shared" si="11"/>
        <v/>
      </c>
      <c r="C744" s="29"/>
      <c r="D744" s="29"/>
      <c r="E744" s="29"/>
      <c r="F744" s="29"/>
      <c r="G744" s="29"/>
      <c r="H744" s="29"/>
      <c r="I744" s="29"/>
      <c r="J744" s="98" t="str" cm="1">
        <f t="array" ref="J744">IF(ISBLANK($C744),"",SUMPRODUCT(--(LEFT(D744:I744, 1) = "*"))*50)</f>
        <v/>
      </c>
    </row>
    <row r="745" spans="1:10" ht="27" customHeight="1">
      <c r="A745" s="29"/>
      <c r="B745" s="98" t="str">
        <f t="shared" si="11"/>
        <v/>
      </c>
      <c r="C745" s="29"/>
      <c r="D745" s="29"/>
      <c r="E745" s="29"/>
      <c r="F745" s="29"/>
      <c r="G745" s="29"/>
      <c r="H745" s="29"/>
      <c r="I745" s="29"/>
      <c r="J745" s="98" t="str" cm="1">
        <f t="array" ref="J745">IF(ISBLANK($C745),"",SUMPRODUCT(--(LEFT(D745:I745, 1) = "*"))*50)</f>
        <v/>
      </c>
    </row>
    <row r="746" spans="1:10" ht="27" customHeight="1">
      <c r="A746" s="29"/>
      <c r="B746" s="98" t="str">
        <f t="shared" si="11"/>
        <v/>
      </c>
      <c r="C746" s="29"/>
      <c r="D746" s="29"/>
      <c r="E746" s="29"/>
      <c r="F746" s="29"/>
      <c r="G746" s="29"/>
      <c r="H746" s="29"/>
      <c r="I746" s="29"/>
      <c r="J746" s="98" t="str" cm="1">
        <f t="array" ref="J746">IF(ISBLANK($C746),"",SUMPRODUCT(--(LEFT(D746:I746, 1) = "*"))*50)</f>
        <v/>
      </c>
    </row>
    <row r="747" spans="1:10" ht="27" customHeight="1">
      <c r="A747" s="29"/>
      <c r="B747" s="98" t="str">
        <f t="shared" si="11"/>
        <v/>
      </c>
      <c r="C747" s="29"/>
      <c r="D747" s="29"/>
      <c r="E747" s="29"/>
      <c r="F747" s="29"/>
      <c r="G747" s="29"/>
      <c r="H747" s="29"/>
      <c r="I747" s="29"/>
      <c r="J747" s="98" t="str" cm="1">
        <f t="array" ref="J747">IF(ISBLANK($C747),"",SUMPRODUCT(--(LEFT(D747:I747, 1) = "*"))*50)</f>
        <v/>
      </c>
    </row>
    <row r="748" spans="1:10" ht="27" customHeight="1">
      <c r="A748" s="29"/>
      <c r="B748" s="98" t="str">
        <f t="shared" si="11"/>
        <v/>
      </c>
      <c r="C748" s="29"/>
      <c r="D748" s="29"/>
      <c r="E748" s="29"/>
      <c r="F748" s="29"/>
      <c r="G748" s="29"/>
      <c r="H748" s="29"/>
      <c r="I748" s="29"/>
      <c r="J748" s="98" t="str" cm="1">
        <f t="array" ref="J748">IF(ISBLANK($C748),"",SUMPRODUCT(--(LEFT(D748:I748, 1) = "*"))*50)</f>
        <v/>
      </c>
    </row>
    <row r="749" spans="1:10" ht="27" customHeight="1">
      <c r="A749" s="29"/>
      <c r="B749" s="98" t="str">
        <f t="shared" si="11"/>
        <v/>
      </c>
      <c r="C749" s="29"/>
      <c r="D749" s="29"/>
      <c r="E749" s="29"/>
      <c r="F749" s="29"/>
      <c r="G749" s="29"/>
      <c r="H749" s="29"/>
      <c r="I749" s="29"/>
      <c r="J749" s="98" t="str" cm="1">
        <f t="array" ref="J749">IF(ISBLANK($C749),"",SUMPRODUCT(--(LEFT(D749:I749, 1) = "*"))*50)</f>
        <v/>
      </c>
    </row>
    <row r="750" spans="1:10" ht="27" customHeight="1">
      <c r="A750" s="29"/>
      <c r="B750" s="98" t="str">
        <f t="shared" si="11"/>
        <v/>
      </c>
      <c r="C750" s="29"/>
      <c r="D750" s="29"/>
      <c r="E750" s="29"/>
      <c r="F750" s="29"/>
      <c r="G750" s="29"/>
      <c r="H750" s="29"/>
      <c r="I750" s="29"/>
      <c r="J750" s="98" t="str" cm="1">
        <f t="array" ref="J750">IF(ISBLANK($C750),"",SUMPRODUCT(--(LEFT(D750:I750, 1) = "*"))*50)</f>
        <v/>
      </c>
    </row>
    <row r="751" spans="1:10" ht="27" customHeight="1">
      <c r="A751" s="29"/>
      <c r="B751" s="98" t="str">
        <f t="shared" si="11"/>
        <v/>
      </c>
      <c r="C751" s="29"/>
      <c r="D751" s="29"/>
      <c r="E751" s="29"/>
      <c r="F751" s="29"/>
      <c r="G751" s="29"/>
      <c r="H751" s="29"/>
      <c r="I751" s="29"/>
      <c r="J751" s="98" t="str" cm="1">
        <f t="array" ref="J751">IF(ISBLANK($C751),"",SUMPRODUCT(--(LEFT(D751:I751, 1) = "*"))*50)</f>
        <v/>
      </c>
    </row>
    <row r="752" spans="1:10" ht="27" customHeight="1">
      <c r="A752" s="29"/>
      <c r="B752" s="98" t="str">
        <f t="shared" si="11"/>
        <v/>
      </c>
      <c r="C752" s="29"/>
      <c r="D752" s="29"/>
      <c r="E752" s="29"/>
      <c r="F752" s="29"/>
      <c r="G752" s="29"/>
      <c r="H752" s="29"/>
      <c r="I752" s="29"/>
      <c r="J752" s="98" t="str" cm="1">
        <f t="array" ref="J752">IF(ISBLANK($C752),"",SUMPRODUCT(--(LEFT(D752:I752, 1) = "*"))*50)</f>
        <v/>
      </c>
    </row>
    <row r="753" spans="1:10" ht="27" customHeight="1">
      <c r="A753" s="29"/>
      <c r="B753" s="98" t="str">
        <f t="shared" si="11"/>
        <v/>
      </c>
      <c r="C753" s="29"/>
      <c r="D753" s="29"/>
      <c r="E753" s="29"/>
      <c r="F753" s="29"/>
      <c r="G753" s="29"/>
      <c r="H753" s="29"/>
      <c r="I753" s="29"/>
      <c r="J753" s="98" t="str" cm="1">
        <f t="array" ref="J753">IF(ISBLANK($C753),"",SUMPRODUCT(--(LEFT(D753:I753, 1) = "*"))*50)</f>
        <v/>
      </c>
    </row>
    <row r="754" spans="1:10" ht="27" customHeight="1">
      <c r="A754" s="29"/>
      <c r="B754" s="98" t="str">
        <f t="shared" si="11"/>
        <v/>
      </c>
      <c r="C754" s="29"/>
      <c r="D754" s="29"/>
      <c r="E754" s="29"/>
      <c r="F754" s="29"/>
      <c r="G754" s="29"/>
      <c r="H754" s="29"/>
      <c r="I754" s="29"/>
      <c r="J754" s="98" t="str" cm="1">
        <f t="array" ref="J754">IF(ISBLANK($C754),"",SUMPRODUCT(--(LEFT(D754:I754, 1) = "*"))*50)</f>
        <v/>
      </c>
    </row>
    <row r="755" spans="1:10" ht="27" customHeight="1">
      <c r="A755" s="29"/>
      <c r="B755" s="98" t="str">
        <f t="shared" si="11"/>
        <v/>
      </c>
      <c r="C755" s="29"/>
      <c r="D755" s="29"/>
      <c r="E755" s="29"/>
      <c r="F755" s="29"/>
      <c r="G755" s="29"/>
      <c r="H755" s="29"/>
      <c r="I755" s="29"/>
      <c r="J755" s="98" t="str" cm="1">
        <f t="array" ref="J755">IF(ISBLANK($C755),"",SUMPRODUCT(--(LEFT(D755:I755, 1) = "*"))*50)</f>
        <v/>
      </c>
    </row>
    <row r="756" spans="1:10" ht="27" customHeight="1">
      <c r="A756" s="29"/>
      <c r="B756" s="98" t="str">
        <f t="shared" si="11"/>
        <v/>
      </c>
      <c r="C756" s="29"/>
      <c r="D756" s="29"/>
      <c r="E756" s="29"/>
      <c r="F756" s="29"/>
      <c r="G756" s="29"/>
      <c r="H756" s="29"/>
      <c r="I756" s="29"/>
      <c r="J756" s="98" t="str" cm="1">
        <f t="array" ref="J756">IF(ISBLANK($C756),"",SUMPRODUCT(--(LEFT(D756:I756, 1) = "*"))*50)</f>
        <v/>
      </c>
    </row>
    <row r="757" spans="1:10" ht="27" customHeight="1">
      <c r="A757" s="29"/>
      <c r="B757" s="98" t="str">
        <f t="shared" si="11"/>
        <v/>
      </c>
      <c r="C757" s="29"/>
      <c r="D757" s="29"/>
      <c r="E757" s="29"/>
      <c r="F757" s="29"/>
      <c r="G757" s="29"/>
      <c r="H757" s="29"/>
      <c r="I757" s="29"/>
      <c r="J757" s="98" t="str" cm="1">
        <f t="array" ref="J757">IF(ISBLANK($C757),"",SUMPRODUCT(--(LEFT(D757:I757, 1) = "*"))*50)</f>
        <v/>
      </c>
    </row>
    <row r="758" spans="1:10" ht="27" customHeight="1">
      <c r="A758" s="29"/>
      <c r="B758" s="98" t="str">
        <f t="shared" si="11"/>
        <v/>
      </c>
      <c r="C758" s="29"/>
      <c r="D758" s="29"/>
      <c r="E758" s="29"/>
      <c r="F758" s="29"/>
      <c r="G758" s="29"/>
      <c r="H758" s="29"/>
      <c r="I758" s="29"/>
      <c r="J758" s="98" t="str" cm="1">
        <f t="array" ref="J758">IF(ISBLANK($C758),"",SUMPRODUCT(--(LEFT(D758:I758, 1) = "*"))*50)</f>
        <v/>
      </c>
    </row>
    <row r="759" spans="1:10" ht="27" customHeight="1">
      <c r="A759" s="29"/>
      <c r="B759" s="98" t="str">
        <f t="shared" si="11"/>
        <v/>
      </c>
      <c r="C759" s="29"/>
      <c r="D759" s="29"/>
      <c r="E759" s="29"/>
      <c r="F759" s="29"/>
      <c r="G759" s="29"/>
      <c r="H759" s="29"/>
      <c r="I759" s="29"/>
      <c r="J759" s="98" t="str" cm="1">
        <f t="array" ref="J759">IF(ISBLANK($C759),"",SUMPRODUCT(--(LEFT(D759:I759, 1) = "*"))*50)</f>
        <v/>
      </c>
    </row>
    <row r="760" spans="1:10" ht="27" customHeight="1">
      <c r="A760" s="29"/>
      <c r="B760" s="98" t="str">
        <f t="shared" si="11"/>
        <v/>
      </c>
      <c r="C760" s="29"/>
      <c r="D760" s="29"/>
      <c r="E760" s="29"/>
      <c r="F760" s="29"/>
      <c r="G760" s="29"/>
      <c r="H760" s="29"/>
      <c r="I760" s="29"/>
      <c r="J760" s="98" t="str" cm="1">
        <f t="array" ref="J760">IF(ISBLANK($C760),"",SUMPRODUCT(--(LEFT(D760:I760, 1) = "*"))*50)</f>
        <v/>
      </c>
    </row>
    <row r="761" spans="1:10" ht="27" customHeight="1">
      <c r="A761" s="29"/>
      <c r="B761" s="98" t="str">
        <f t="shared" si="11"/>
        <v/>
      </c>
      <c r="C761" s="29"/>
      <c r="D761" s="29"/>
      <c r="E761" s="29"/>
      <c r="F761" s="29"/>
      <c r="G761" s="29"/>
      <c r="H761" s="29"/>
      <c r="I761" s="29"/>
      <c r="J761" s="98" t="str" cm="1">
        <f t="array" ref="J761">IF(ISBLANK($C761),"",SUMPRODUCT(--(LEFT(D761:I761, 1) = "*"))*50)</f>
        <v/>
      </c>
    </row>
    <row r="762" spans="1:10" ht="27" customHeight="1">
      <c r="A762" s="29"/>
      <c r="B762" s="98" t="str">
        <f t="shared" si="11"/>
        <v/>
      </c>
      <c r="C762" s="29"/>
      <c r="D762" s="29"/>
      <c r="E762" s="29"/>
      <c r="F762" s="29"/>
      <c r="G762" s="29"/>
      <c r="H762" s="29"/>
      <c r="I762" s="29"/>
      <c r="J762" s="98" t="str" cm="1">
        <f t="array" ref="J762">IF(ISBLANK($C762),"",SUMPRODUCT(--(LEFT(D762:I762, 1) = "*"))*50)</f>
        <v/>
      </c>
    </row>
    <row r="763" spans="1:10" ht="27" customHeight="1">
      <c r="A763" s="29"/>
      <c r="B763" s="98" t="str">
        <f t="shared" si="11"/>
        <v/>
      </c>
      <c r="C763" s="29"/>
      <c r="D763" s="29"/>
      <c r="E763" s="29"/>
      <c r="F763" s="29"/>
      <c r="G763" s="29"/>
      <c r="H763" s="29"/>
      <c r="I763" s="29"/>
      <c r="J763" s="98" t="str" cm="1">
        <f t="array" ref="J763">IF(ISBLANK($C763),"",SUMPRODUCT(--(LEFT(D763:I763, 1) = "*"))*50)</f>
        <v/>
      </c>
    </row>
    <row r="764" spans="1:10" ht="27" customHeight="1">
      <c r="A764" s="29"/>
      <c r="B764" s="98" t="str">
        <f t="shared" si="11"/>
        <v/>
      </c>
      <c r="C764" s="29"/>
      <c r="D764" s="29"/>
      <c r="E764" s="29"/>
      <c r="F764" s="29"/>
      <c r="G764" s="29"/>
      <c r="H764" s="29"/>
      <c r="I764" s="29"/>
      <c r="J764" s="98" t="str" cm="1">
        <f t="array" ref="J764">IF(ISBLANK($C764),"",SUMPRODUCT(--(LEFT(D764:I764, 1) = "*"))*50)</f>
        <v/>
      </c>
    </row>
    <row r="765" spans="1:10" ht="27" customHeight="1">
      <c r="A765" s="29"/>
      <c r="B765" s="98" t="str">
        <f t="shared" si="11"/>
        <v/>
      </c>
      <c r="C765" s="29"/>
      <c r="D765" s="29"/>
      <c r="E765" s="29"/>
      <c r="F765" s="29"/>
      <c r="G765" s="29"/>
      <c r="H765" s="29"/>
      <c r="I765" s="29"/>
      <c r="J765" s="98" t="str" cm="1">
        <f t="array" ref="J765">IF(ISBLANK($C765),"",SUMPRODUCT(--(LEFT(D765:I765, 1) = "*"))*50)</f>
        <v/>
      </c>
    </row>
    <row r="766" spans="1:10" ht="27" customHeight="1">
      <c r="A766" s="29"/>
      <c r="B766" s="98" t="str">
        <f t="shared" si="11"/>
        <v/>
      </c>
      <c r="C766" s="29"/>
      <c r="D766" s="29"/>
      <c r="E766" s="29"/>
      <c r="F766" s="29"/>
      <c r="G766" s="29"/>
      <c r="H766" s="29"/>
      <c r="I766" s="29"/>
      <c r="J766" s="98" t="str" cm="1">
        <f t="array" ref="J766">IF(ISBLANK($C766),"",SUMPRODUCT(--(LEFT(D766:I766, 1) = "*"))*50)</f>
        <v/>
      </c>
    </row>
    <row r="767" spans="1:10" ht="27" customHeight="1">
      <c r="A767" s="29"/>
      <c r="B767" s="98" t="str">
        <f t="shared" si="11"/>
        <v/>
      </c>
      <c r="C767" s="29"/>
      <c r="D767" s="29"/>
      <c r="E767" s="29"/>
      <c r="F767" s="29"/>
      <c r="G767" s="29"/>
      <c r="H767" s="29"/>
      <c r="I767" s="29"/>
      <c r="J767" s="98" t="str" cm="1">
        <f t="array" ref="J767">IF(ISBLANK($C767),"",SUMPRODUCT(--(LEFT(D767:I767, 1) = "*"))*50)</f>
        <v/>
      </c>
    </row>
    <row r="768" spans="1:10" ht="27" customHeight="1">
      <c r="A768" s="29"/>
      <c r="B768" s="98" t="str">
        <f t="shared" si="11"/>
        <v/>
      </c>
      <c r="C768" s="29"/>
      <c r="D768" s="29"/>
      <c r="E768" s="29"/>
      <c r="F768" s="29"/>
      <c r="G768" s="29"/>
      <c r="H768" s="29"/>
      <c r="I768" s="29"/>
      <c r="J768" s="98" t="str" cm="1">
        <f t="array" ref="J768">IF(ISBLANK($C768),"",SUMPRODUCT(--(LEFT(D768:I768, 1) = "*"))*50)</f>
        <v/>
      </c>
    </row>
    <row r="769" spans="1:10" ht="27" customHeight="1">
      <c r="A769" s="29"/>
      <c r="B769" s="98" t="str">
        <f t="shared" si="11"/>
        <v/>
      </c>
      <c r="C769" s="29"/>
      <c r="D769" s="29"/>
      <c r="E769" s="29"/>
      <c r="F769" s="29"/>
      <c r="G769" s="29"/>
      <c r="H769" s="29"/>
      <c r="I769" s="29"/>
      <c r="J769" s="98" t="str" cm="1">
        <f t="array" ref="J769">IF(ISBLANK($C769),"",SUMPRODUCT(--(LEFT(D769:I769, 1) = "*"))*50)</f>
        <v/>
      </c>
    </row>
    <row r="770" spans="1:10" ht="27" customHeight="1">
      <c r="A770" s="29"/>
      <c r="B770" s="98" t="str">
        <f t="shared" si="11"/>
        <v/>
      </c>
      <c r="C770" s="29"/>
      <c r="D770" s="29"/>
      <c r="E770" s="29"/>
      <c r="F770" s="29"/>
      <c r="G770" s="29"/>
      <c r="H770" s="29"/>
      <c r="I770" s="29"/>
      <c r="J770" s="98" t="str" cm="1">
        <f t="array" ref="J770">IF(ISBLANK($C770),"",SUMPRODUCT(--(LEFT(D770:I770, 1) = "*"))*50)</f>
        <v/>
      </c>
    </row>
    <row r="771" spans="1:10" ht="27" customHeight="1">
      <c r="A771" s="29"/>
      <c r="B771" s="98" t="str">
        <f t="shared" ref="B771:B834" si="12">IF(ISBLANK($C771),"","MCQ")</f>
        <v/>
      </c>
      <c r="C771" s="29"/>
      <c r="D771" s="29"/>
      <c r="E771" s="29"/>
      <c r="F771" s="29"/>
      <c r="G771" s="29"/>
      <c r="H771" s="29"/>
      <c r="I771" s="29"/>
      <c r="J771" s="98" t="str" cm="1">
        <f t="array" ref="J771">IF(ISBLANK($C771),"",SUMPRODUCT(--(LEFT(D771:I771, 1) = "*"))*50)</f>
        <v/>
      </c>
    </row>
    <row r="772" spans="1:10" ht="27" customHeight="1">
      <c r="A772" s="29"/>
      <c r="B772" s="98" t="str">
        <f t="shared" si="12"/>
        <v/>
      </c>
      <c r="C772" s="29"/>
      <c r="D772" s="29"/>
      <c r="E772" s="29"/>
      <c r="F772" s="29"/>
      <c r="G772" s="29"/>
      <c r="H772" s="29"/>
      <c r="I772" s="29"/>
      <c r="J772" s="98" t="str" cm="1">
        <f t="array" ref="J772">IF(ISBLANK($C772),"",SUMPRODUCT(--(LEFT(D772:I772, 1) = "*"))*50)</f>
        <v/>
      </c>
    </row>
    <row r="773" spans="1:10" ht="27" customHeight="1">
      <c r="A773" s="29"/>
      <c r="B773" s="98" t="str">
        <f t="shared" si="12"/>
        <v/>
      </c>
      <c r="C773" s="29"/>
      <c r="D773" s="29"/>
      <c r="E773" s="29"/>
      <c r="F773" s="29"/>
      <c r="G773" s="29"/>
      <c r="H773" s="29"/>
      <c r="I773" s="29"/>
      <c r="J773" s="98" t="str" cm="1">
        <f t="array" ref="J773">IF(ISBLANK($C773),"",SUMPRODUCT(--(LEFT(D773:I773, 1) = "*"))*50)</f>
        <v/>
      </c>
    </row>
    <row r="774" spans="1:10" ht="27" customHeight="1">
      <c r="A774" s="29"/>
      <c r="B774" s="98" t="str">
        <f t="shared" si="12"/>
        <v/>
      </c>
      <c r="C774" s="29"/>
      <c r="D774" s="29"/>
      <c r="E774" s="29"/>
      <c r="F774" s="29"/>
      <c r="G774" s="29"/>
      <c r="H774" s="29"/>
      <c r="I774" s="29"/>
      <c r="J774" s="98" t="str" cm="1">
        <f t="array" ref="J774">IF(ISBLANK($C774),"",SUMPRODUCT(--(LEFT(D774:I774, 1) = "*"))*50)</f>
        <v/>
      </c>
    </row>
    <row r="775" spans="1:10" ht="27" customHeight="1">
      <c r="A775" s="29"/>
      <c r="B775" s="98" t="str">
        <f t="shared" si="12"/>
        <v/>
      </c>
      <c r="C775" s="29"/>
      <c r="D775" s="29"/>
      <c r="E775" s="29"/>
      <c r="F775" s="29"/>
      <c r="G775" s="29"/>
      <c r="H775" s="29"/>
      <c r="I775" s="29"/>
      <c r="J775" s="98" t="str" cm="1">
        <f t="array" ref="J775">IF(ISBLANK($C775),"",SUMPRODUCT(--(LEFT(D775:I775, 1) = "*"))*50)</f>
        <v/>
      </c>
    </row>
    <row r="776" spans="1:10" ht="27" customHeight="1">
      <c r="A776" s="29"/>
      <c r="B776" s="98" t="str">
        <f t="shared" si="12"/>
        <v/>
      </c>
      <c r="C776" s="29"/>
      <c r="D776" s="29"/>
      <c r="E776" s="29"/>
      <c r="F776" s="29"/>
      <c r="G776" s="29"/>
      <c r="H776" s="29"/>
      <c r="I776" s="29"/>
      <c r="J776" s="98" t="str" cm="1">
        <f t="array" ref="J776">IF(ISBLANK($C776),"",SUMPRODUCT(--(LEFT(D776:I776, 1) = "*"))*50)</f>
        <v/>
      </c>
    </row>
    <row r="777" spans="1:10" ht="27" customHeight="1">
      <c r="A777" s="29"/>
      <c r="B777" s="98" t="str">
        <f t="shared" si="12"/>
        <v/>
      </c>
      <c r="C777" s="29"/>
      <c r="D777" s="29"/>
      <c r="E777" s="29"/>
      <c r="F777" s="29"/>
      <c r="G777" s="29"/>
      <c r="H777" s="29"/>
      <c r="I777" s="29"/>
      <c r="J777" s="98" t="str" cm="1">
        <f t="array" ref="J777">IF(ISBLANK($C777),"",SUMPRODUCT(--(LEFT(D777:I777, 1) = "*"))*50)</f>
        <v/>
      </c>
    </row>
    <row r="778" spans="1:10" ht="27" customHeight="1">
      <c r="A778" s="29"/>
      <c r="B778" s="98" t="str">
        <f t="shared" si="12"/>
        <v/>
      </c>
      <c r="C778" s="29"/>
      <c r="D778" s="29"/>
      <c r="E778" s="29"/>
      <c r="F778" s="29"/>
      <c r="G778" s="29"/>
      <c r="H778" s="29"/>
      <c r="I778" s="29"/>
      <c r="J778" s="98" t="str" cm="1">
        <f t="array" ref="J778">IF(ISBLANK($C778),"",SUMPRODUCT(--(LEFT(D778:I778, 1) = "*"))*50)</f>
        <v/>
      </c>
    </row>
    <row r="779" spans="1:10" ht="27" customHeight="1">
      <c r="A779" s="29"/>
      <c r="B779" s="98" t="str">
        <f t="shared" si="12"/>
        <v/>
      </c>
      <c r="C779" s="29"/>
      <c r="D779" s="29"/>
      <c r="E779" s="29"/>
      <c r="F779" s="29"/>
      <c r="G779" s="29"/>
      <c r="H779" s="29"/>
      <c r="I779" s="29"/>
      <c r="J779" s="98" t="str" cm="1">
        <f t="array" ref="J779">IF(ISBLANK($C779),"",SUMPRODUCT(--(LEFT(D779:I779, 1) = "*"))*50)</f>
        <v/>
      </c>
    </row>
    <row r="780" spans="1:10" ht="27" customHeight="1">
      <c r="A780" s="29"/>
      <c r="B780" s="98" t="str">
        <f t="shared" si="12"/>
        <v/>
      </c>
      <c r="C780" s="29"/>
      <c r="D780" s="29"/>
      <c r="E780" s="29"/>
      <c r="F780" s="29"/>
      <c r="G780" s="29"/>
      <c r="H780" s="29"/>
      <c r="I780" s="29"/>
      <c r="J780" s="98" t="str" cm="1">
        <f t="array" ref="J780">IF(ISBLANK($C780),"",SUMPRODUCT(--(LEFT(D780:I780, 1) = "*"))*50)</f>
        <v/>
      </c>
    </row>
    <row r="781" spans="1:10" ht="27" customHeight="1">
      <c r="A781" s="29"/>
      <c r="B781" s="98" t="str">
        <f t="shared" si="12"/>
        <v/>
      </c>
      <c r="C781" s="29"/>
      <c r="D781" s="29"/>
      <c r="E781" s="29"/>
      <c r="F781" s="29"/>
      <c r="G781" s="29"/>
      <c r="H781" s="29"/>
      <c r="I781" s="29"/>
      <c r="J781" s="98" t="str" cm="1">
        <f t="array" ref="J781">IF(ISBLANK($C781),"",SUMPRODUCT(--(LEFT(D781:I781, 1) = "*"))*50)</f>
        <v/>
      </c>
    </row>
    <row r="782" spans="1:10" ht="27" customHeight="1">
      <c r="A782" s="29"/>
      <c r="B782" s="98" t="str">
        <f t="shared" si="12"/>
        <v/>
      </c>
      <c r="C782" s="29"/>
      <c r="D782" s="29"/>
      <c r="E782" s="29"/>
      <c r="F782" s="29"/>
      <c r="G782" s="29"/>
      <c r="H782" s="29"/>
      <c r="I782" s="29"/>
      <c r="J782" s="98" t="str" cm="1">
        <f t="array" ref="J782">IF(ISBLANK($C782),"",SUMPRODUCT(--(LEFT(D782:I782, 1) = "*"))*50)</f>
        <v/>
      </c>
    </row>
    <row r="783" spans="1:10" ht="27" customHeight="1">
      <c r="A783" s="29"/>
      <c r="B783" s="98" t="str">
        <f t="shared" si="12"/>
        <v/>
      </c>
      <c r="C783" s="29"/>
      <c r="D783" s="29"/>
      <c r="E783" s="29"/>
      <c r="F783" s="29"/>
      <c r="G783" s="29"/>
      <c r="H783" s="29"/>
      <c r="I783" s="29"/>
      <c r="J783" s="98" t="str" cm="1">
        <f t="array" ref="J783">IF(ISBLANK($C783),"",SUMPRODUCT(--(LEFT(D783:I783, 1) = "*"))*50)</f>
        <v/>
      </c>
    </row>
    <row r="784" spans="1:10" ht="27" customHeight="1">
      <c r="A784" s="29"/>
      <c r="B784" s="98" t="str">
        <f t="shared" si="12"/>
        <v/>
      </c>
      <c r="C784" s="29"/>
      <c r="D784" s="29"/>
      <c r="E784" s="29"/>
      <c r="F784" s="29"/>
      <c r="G784" s="29"/>
      <c r="H784" s="29"/>
      <c r="I784" s="29"/>
      <c r="J784" s="98" t="str" cm="1">
        <f t="array" ref="J784">IF(ISBLANK($C784),"",SUMPRODUCT(--(LEFT(D784:I784, 1) = "*"))*50)</f>
        <v/>
      </c>
    </row>
    <row r="785" spans="1:10" ht="27" customHeight="1">
      <c r="A785" s="29"/>
      <c r="B785" s="98" t="str">
        <f t="shared" si="12"/>
        <v/>
      </c>
      <c r="C785" s="29"/>
      <c r="D785" s="29"/>
      <c r="E785" s="29"/>
      <c r="F785" s="29"/>
      <c r="G785" s="29"/>
      <c r="H785" s="29"/>
      <c r="I785" s="29"/>
      <c r="J785" s="98" t="str" cm="1">
        <f t="array" ref="J785">IF(ISBLANK($C785),"",SUMPRODUCT(--(LEFT(D785:I785, 1) = "*"))*50)</f>
        <v/>
      </c>
    </row>
    <row r="786" spans="1:10" ht="27" customHeight="1">
      <c r="A786" s="29"/>
      <c r="B786" s="98" t="str">
        <f t="shared" si="12"/>
        <v/>
      </c>
      <c r="C786" s="29"/>
      <c r="D786" s="29"/>
      <c r="E786" s="29"/>
      <c r="F786" s="29"/>
      <c r="G786" s="29"/>
      <c r="H786" s="29"/>
      <c r="I786" s="29"/>
      <c r="J786" s="98" t="str" cm="1">
        <f t="array" ref="J786">IF(ISBLANK($C786),"",SUMPRODUCT(--(LEFT(D786:I786, 1) = "*"))*50)</f>
        <v/>
      </c>
    </row>
    <row r="787" spans="1:10" ht="27" customHeight="1">
      <c r="A787" s="29"/>
      <c r="B787" s="98" t="str">
        <f t="shared" si="12"/>
        <v/>
      </c>
      <c r="C787" s="29"/>
      <c r="D787" s="29"/>
      <c r="E787" s="29"/>
      <c r="F787" s="29"/>
      <c r="G787" s="29"/>
      <c r="H787" s="29"/>
      <c r="I787" s="29"/>
      <c r="J787" s="98" t="str" cm="1">
        <f t="array" ref="J787">IF(ISBLANK($C787),"",SUMPRODUCT(--(LEFT(D787:I787, 1) = "*"))*50)</f>
        <v/>
      </c>
    </row>
    <row r="788" spans="1:10" ht="27" customHeight="1">
      <c r="A788" s="29"/>
      <c r="B788" s="98" t="str">
        <f t="shared" si="12"/>
        <v/>
      </c>
      <c r="C788" s="29"/>
      <c r="D788" s="29"/>
      <c r="E788" s="29"/>
      <c r="F788" s="29"/>
      <c r="G788" s="29"/>
      <c r="H788" s="29"/>
      <c r="I788" s="29"/>
      <c r="J788" s="98" t="str" cm="1">
        <f t="array" ref="J788">IF(ISBLANK($C788),"",SUMPRODUCT(--(LEFT(D788:I788, 1) = "*"))*50)</f>
        <v/>
      </c>
    </row>
    <row r="789" spans="1:10" ht="27" customHeight="1">
      <c r="A789" s="29"/>
      <c r="B789" s="98" t="str">
        <f t="shared" si="12"/>
        <v/>
      </c>
      <c r="C789" s="29"/>
      <c r="D789" s="29"/>
      <c r="E789" s="29"/>
      <c r="F789" s="29"/>
      <c r="G789" s="29"/>
      <c r="H789" s="29"/>
      <c r="I789" s="29"/>
      <c r="J789" s="98" t="str" cm="1">
        <f t="array" ref="J789">IF(ISBLANK($C789),"",SUMPRODUCT(--(LEFT(D789:I789, 1) = "*"))*50)</f>
        <v/>
      </c>
    </row>
    <row r="790" spans="1:10" ht="27" customHeight="1">
      <c r="A790" s="29"/>
      <c r="B790" s="98" t="str">
        <f t="shared" si="12"/>
        <v/>
      </c>
      <c r="C790" s="29"/>
      <c r="D790" s="29"/>
      <c r="E790" s="29"/>
      <c r="F790" s="29"/>
      <c r="G790" s="29"/>
      <c r="H790" s="29"/>
      <c r="I790" s="29"/>
      <c r="J790" s="98" t="str" cm="1">
        <f t="array" ref="J790">IF(ISBLANK($C790),"",SUMPRODUCT(--(LEFT(D790:I790, 1) = "*"))*50)</f>
        <v/>
      </c>
    </row>
    <row r="791" spans="1:10" ht="27" customHeight="1">
      <c r="A791" s="29"/>
      <c r="B791" s="98" t="str">
        <f t="shared" si="12"/>
        <v/>
      </c>
      <c r="C791" s="29"/>
      <c r="D791" s="29"/>
      <c r="E791" s="29"/>
      <c r="F791" s="29"/>
      <c r="G791" s="29"/>
      <c r="H791" s="29"/>
      <c r="I791" s="29"/>
      <c r="J791" s="98" t="str" cm="1">
        <f t="array" ref="J791">IF(ISBLANK($C791),"",SUMPRODUCT(--(LEFT(D791:I791, 1) = "*"))*50)</f>
        <v/>
      </c>
    </row>
    <row r="792" spans="1:10" ht="27" customHeight="1">
      <c r="A792" s="29"/>
      <c r="B792" s="98" t="str">
        <f t="shared" si="12"/>
        <v/>
      </c>
      <c r="C792" s="29"/>
      <c r="D792" s="29"/>
      <c r="E792" s="29"/>
      <c r="F792" s="29"/>
      <c r="G792" s="29"/>
      <c r="H792" s="29"/>
      <c r="I792" s="29"/>
      <c r="J792" s="98" t="str" cm="1">
        <f t="array" ref="J792">IF(ISBLANK($C792),"",SUMPRODUCT(--(LEFT(D792:I792, 1) = "*"))*50)</f>
        <v/>
      </c>
    </row>
    <row r="793" spans="1:10" ht="27" customHeight="1">
      <c r="A793" s="29"/>
      <c r="B793" s="98" t="str">
        <f t="shared" si="12"/>
        <v/>
      </c>
      <c r="C793" s="29"/>
      <c r="D793" s="29"/>
      <c r="E793" s="29"/>
      <c r="F793" s="29"/>
      <c r="G793" s="29"/>
      <c r="H793" s="29"/>
      <c r="I793" s="29"/>
      <c r="J793" s="98" t="str" cm="1">
        <f t="array" ref="J793">IF(ISBLANK($C793),"",SUMPRODUCT(--(LEFT(D793:I793, 1) = "*"))*50)</f>
        <v/>
      </c>
    </row>
    <row r="794" spans="1:10" ht="27" customHeight="1">
      <c r="A794" s="29"/>
      <c r="B794" s="98" t="str">
        <f t="shared" si="12"/>
        <v/>
      </c>
      <c r="C794" s="29"/>
      <c r="D794" s="29"/>
      <c r="E794" s="29"/>
      <c r="F794" s="29"/>
      <c r="G794" s="29"/>
      <c r="H794" s="29"/>
      <c r="I794" s="29"/>
      <c r="J794" s="98" t="str" cm="1">
        <f t="array" ref="J794">IF(ISBLANK($C794),"",SUMPRODUCT(--(LEFT(D794:I794, 1) = "*"))*50)</f>
        <v/>
      </c>
    </row>
    <row r="795" spans="1:10" ht="27" customHeight="1">
      <c r="A795" s="29"/>
      <c r="B795" s="98" t="str">
        <f t="shared" si="12"/>
        <v/>
      </c>
      <c r="C795" s="29"/>
      <c r="D795" s="29"/>
      <c r="E795" s="29"/>
      <c r="F795" s="29"/>
      <c r="G795" s="29"/>
      <c r="H795" s="29"/>
      <c r="I795" s="29"/>
      <c r="J795" s="98" t="str" cm="1">
        <f t="array" ref="J795">IF(ISBLANK($C795),"",SUMPRODUCT(--(LEFT(D795:I795, 1) = "*"))*50)</f>
        <v/>
      </c>
    </row>
    <row r="796" spans="1:10" ht="27" customHeight="1">
      <c r="A796" s="29"/>
      <c r="B796" s="98" t="str">
        <f t="shared" si="12"/>
        <v/>
      </c>
      <c r="C796" s="29"/>
      <c r="D796" s="29"/>
      <c r="E796" s="29"/>
      <c r="F796" s="29"/>
      <c r="G796" s="29"/>
      <c r="H796" s="29"/>
      <c r="I796" s="29"/>
      <c r="J796" s="98" t="str" cm="1">
        <f t="array" ref="J796">IF(ISBLANK($C796),"",SUMPRODUCT(--(LEFT(D796:I796, 1) = "*"))*50)</f>
        <v/>
      </c>
    </row>
    <row r="797" spans="1:10" ht="27" customHeight="1">
      <c r="A797" s="29"/>
      <c r="B797" s="98" t="str">
        <f t="shared" si="12"/>
        <v/>
      </c>
      <c r="C797" s="29"/>
      <c r="D797" s="29"/>
      <c r="E797" s="29"/>
      <c r="F797" s="29"/>
      <c r="G797" s="29"/>
      <c r="H797" s="29"/>
      <c r="I797" s="29"/>
      <c r="J797" s="98" t="str" cm="1">
        <f t="array" ref="J797">IF(ISBLANK($C797),"",SUMPRODUCT(--(LEFT(D797:I797, 1) = "*"))*50)</f>
        <v/>
      </c>
    </row>
    <row r="798" spans="1:10" ht="27" customHeight="1">
      <c r="A798" s="29"/>
      <c r="B798" s="98" t="str">
        <f t="shared" si="12"/>
        <v/>
      </c>
      <c r="C798" s="29"/>
      <c r="D798" s="29"/>
      <c r="E798" s="29"/>
      <c r="F798" s="29"/>
      <c r="G798" s="29"/>
      <c r="H798" s="29"/>
      <c r="I798" s="29"/>
      <c r="J798" s="98" t="str" cm="1">
        <f t="array" ref="J798">IF(ISBLANK($C798),"",SUMPRODUCT(--(LEFT(D798:I798, 1) = "*"))*50)</f>
        <v/>
      </c>
    </row>
    <row r="799" spans="1:10" ht="27" customHeight="1">
      <c r="A799" s="29"/>
      <c r="B799" s="98" t="str">
        <f t="shared" si="12"/>
        <v/>
      </c>
      <c r="C799" s="29"/>
      <c r="D799" s="29"/>
      <c r="E799" s="29"/>
      <c r="F799" s="29"/>
      <c r="G799" s="29"/>
      <c r="H799" s="29"/>
      <c r="I799" s="29"/>
      <c r="J799" s="98" t="str" cm="1">
        <f t="array" ref="J799">IF(ISBLANK($C799),"",SUMPRODUCT(--(LEFT(D799:I799, 1) = "*"))*50)</f>
        <v/>
      </c>
    </row>
    <row r="800" spans="1:10" ht="27" customHeight="1">
      <c r="A800" s="29"/>
      <c r="B800" s="98" t="str">
        <f t="shared" si="12"/>
        <v/>
      </c>
      <c r="C800" s="29"/>
      <c r="D800" s="29"/>
      <c r="E800" s="29"/>
      <c r="F800" s="29"/>
      <c r="G800" s="29"/>
      <c r="H800" s="29"/>
      <c r="I800" s="29"/>
      <c r="J800" s="98" t="str" cm="1">
        <f t="array" ref="J800">IF(ISBLANK($C800),"",SUMPRODUCT(--(LEFT(D800:I800, 1) = "*"))*50)</f>
        <v/>
      </c>
    </row>
    <row r="801" spans="1:10" ht="27" customHeight="1">
      <c r="A801" s="29"/>
      <c r="B801" s="98" t="str">
        <f t="shared" si="12"/>
        <v/>
      </c>
      <c r="C801" s="29"/>
      <c r="D801" s="29"/>
      <c r="E801" s="29"/>
      <c r="F801" s="29"/>
      <c r="G801" s="29"/>
      <c r="H801" s="29"/>
      <c r="I801" s="29"/>
      <c r="J801" s="98" t="str" cm="1">
        <f t="array" ref="J801">IF(ISBLANK($C801),"",SUMPRODUCT(--(LEFT(D801:I801, 1) = "*"))*50)</f>
        <v/>
      </c>
    </row>
    <row r="802" spans="1:10" ht="27" customHeight="1">
      <c r="A802" s="29"/>
      <c r="B802" s="98" t="str">
        <f t="shared" si="12"/>
        <v/>
      </c>
      <c r="C802" s="29"/>
      <c r="D802" s="29"/>
      <c r="E802" s="29"/>
      <c r="F802" s="29"/>
      <c r="G802" s="29"/>
      <c r="H802" s="29"/>
      <c r="I802" s="29"/>
      <c r="J802" s="98" t="str" cm="1">
        <f t="array" ref="J802">IF(ISBLANK($C802),"",SUMPRODUCT(--(LEFT(D802:I802, 1) = "*"))*50)</f>
        <v/>
      </c>
    </row>
    <row r="803" spans="1:10" ht="27" customHeight="1">
      <c r="A803" s="29"/>
      <c r="B803" s="98" t="str">
        <f t="shared" si="12"/>
        <v/>
      </c>
      <c r="C803" s="29"/>
      <c r="D803" s="29"/>
      <c r="E803" s="29"/>
      <c r="F803" s="29"/>
      <c r="G803" s="29"/>
      <c r="H803" s="29"/>
      <c r="I803" s="29"/>
      <c r="J803" s="98" t="str" cm="1">
        <f t="array" ref="J803">IF(ISBLANK($C803),"",SUMPRODUCT(--(LEFT(D803:I803, 1) = "*"))*50)</f>
        <v/>
      </c>
    </row>
    <row r="804" spans="1:10" ht="27" customHeight="1">
      <c r="A804" s="29"/>
      <c r="B804" s="98" t="str">
        <f t="shared" si="12"/>
        <v/>
      </c>
      <c r="C804" s="29"/>
      <c r="D804" s="29"/>
      <c r="E804" s="29"/>
      <c r="F804" s="29"/>
      <c r="G804" s="29"/>
      <c r="H804" s="29"/>
      <c r="I804" s="29"/>
      <c r="J804" s="98" t="str" cm="1">
        <f t="array" ref="J804">IF(ISBLANK($C804),"",SUMPRODUCT(--(LEFT(D804:I804, 1) = "*"))*50)</f>
        <v/>
      </c>
    </row>
    <row r="805" spans="1:10" ht="27" customHeight="1">
      <c r="A805" s="29"/>
      <c r="B805" s="98" t="str">
        <f t="shared" si="12"/>
        <v/>
      </c>
      <c r="C805" s="29"/>
      <c r="D805" s="29"/>
      <c r="E805" s="29"/>
      <c r="F805" s="29"/>
      <c r="G805" s="29"/>
      <c r="H805" s="29"/>
      <c r="I805" s="29"/>
      <c r="J805" s="98" t="str" cm="1">
        <f t="array" ref="J805">IF(ISBLANK($C805),"",SUMPRODUCT(--(LEFT(D805:I805, 1) = "*"))*50)</f>
        <v/>
      </c>
    </row>
    <row r="806" spans="1:10" ht="27" customHeight="1">
      <c r="A806" s="29"/>
      <c r="B806" s="98" t="str">
        <f t="shared" si="12"/>
        <v/>
      </c>
      <c r="C806" s="29"/>
      <c r="D806" s="29"/>
      <c r="E806" s="29"/>
      <c r="F806" s="29"/>
      <c r="G806" s="29"/>
      <c r="H806" s="29"/>
      <c r="I806" s="29"/>
      <c r="J806" s="98" t="str" cm="1">
        <f t="array" ref="J806">IF(ISBLANK($C806),"",SUMPRODUCT(--(LEFT(D806:I806, 1) = "*"))*50)</f>
        <v/>
      </c>
    </row>
    <row r="807" spans="1:10" ht="27" customHeight="1">
      <c r="A807" s="29"/>
      <c r="B807" s="98" t="str">
        <f t="shared" si="12"/>
        <v/>
      </c>
      <c r="C807" s="29"/>
      <c r="D807" s="29"/>
      <c r="E807" s="29"/>
      <c r="F807" s="29"/>
      <c r="G807" s="29"/>
      <c r="H807" s="29"/>
      <c r="I807" s="29"/>
      <c r="J807" s="98" t="str" cm="1">
        <f t="array" ref="J807">IF(ISBLANK($C807),"",SUMPRODUCT(--(LEFT(D807:I807, 1) = "*"))*50)</f>
        <v/>
      </c>
    </row>
    <row r="808" spans="1:10" ht="27" customHeight="1">
      <c r="A808" s="29"/>
      <c r="B808" s="98" t="str">
        <f t="shared" si="12"/>
        <v/>
      </c>
      <c r="C808" s="29"/>
      <c r="D808" s="29"/>
      <c r="E808" s="29"/>
      <c r="F808" s="29"/>
      <c r="G808" s="29"/>
      <c r="H808" s="29"/>
      <c r="I808" s="29"/>
      <c r="J808" s="98" t="str" cm="1">
        <f t="array" ref="J808">IF(ISBLANK($C808),"",SUMPRODUCT(--(LEFT(D808:I808, 1) = "*"))*50)</f>
        <v/>
      </c>
    </row>
    <row r="809" spans="1:10" ht="27" customHeight="1">
      <c r="A809" s="29"/>
      <c r="B809" s="98" t="str">
        <f t="shared" si="12"/>
        <v/>
      </c>
      <c r="C809" s="29"/>
      <c r="D809" s="29"/>
      <c r="E809" s="29"/>
      <c r="F809" s="29"/>
      <c r="G809" s="29"/>
      <c r="H809" s="29"/>
      <c r="I809" s="29"/>
      <c r="J809" s="98" t="str" cm="1">
        <f t="array" ref="J809">IF(ISBLANK($C809),"",SUMPRODUCT(--(LEFT(D809:I809, 1) = "*"))*50)</f>
        <v/>
      </c>
    </row>
    <row r="810" spans="1:10" ht="27" customHeight="1">
      <c r="A810" s="29"/>
      <c r="B810" s="98" t="str">
        <f t="shared" si="12"/>
        <v/>
      </c>
      <c r="C810" s="29"/>
      <c r="D810" s="29"/>
      <c r="E810" s="29"/>
      <c r="F810" s="29"/>
      <c r="G810" s="29"/>
      <c r="H810" s="29"/>
      <c r="I810" s="29"/>
      <c r="J810" s="98" t="str" cm="1">
        <f t="array" ref="J810">IF(ISBLANK($C810),"",SUMPRODUCT(--(LEFT(D810:I810, 1) = "*"))*50)</f>
        <v/>
      </c>
    </row>
    <row r="811" spans="1:10" ht="27" customHeight="1">
      <c r="A811" s="29"/>
      <c r="B811" s="98" t="str">
        <f t="shared" si="12"/>
        <v/>
      </c>
      <c r="C811" s="29"/>
      <c r="D811" s="29"/>
      <c r="E811" s="29"/>
      <c r="F811" s="29"/>
      <c r="G811" s="29"/>
      <c r="H811" s="29"/>
      <c r="I811" s="29"/>
      <c r="J811" s="98" t="str" cm="1">
        <f t="array" ref="J811">IF(ISBLANK($C811),"",SUMPRODUCT(--(LEFT(D811:I811, 1) = "*"))*50)</f>
        <v/>
      </c>
    </row>
    <row r="812" spans="1:10" ht="27" customHeight="1">
      <c r="A812" s="29"/>
      <c r="B812" s="98" t="str">
        <f t="shared" si="12"/>
        <v/>
      </c>
      <c r="C812" s="29"/>
      <c r="D812" s="29"/>
      <c r="E812" s="29"/>
      <c r="F812" s="29"/>
      <c r="G812" s="29"/>
      <c r="H812" s="29"/>
      <c r="I812" s="29"/>
      <c r="J812" s="98" t="str" cm="1">
        <f t="array" ref="J812">IF(ISBLANK($C812),"",SUMPRODUCT(--(LEFT(D812:I812, 1) = "*"))*50)</f>
        <v/>
      </c>
    </row>
    <row r="813" spans="1:10" ht="27" customHeight="1">
      <c r="A813" s="29"/>
      <c r="B813" s="98" t="str">
        <f t="shared" si="12"/>
        <v/>
      </c>
      <c r="C813" s="29"/>
      <c r="D813" s="29"/>
      <c r="E813" s="29"/>
      <c r="F813" s="29"/>
      <c r="G813" s="29"/>
      <c r="H813" s="29"/>
      <c r="I813" s="29"/>
      <c r="J813" s="98" t="str" cm="1">
        <f t="array" ref="J813">IF(ISBLANK($C813),"",SUMPRODUCT(--(LEFT(D813:I813, 1) = "*"))*50)</f>
        <v/>
      </c>
    </row>
    <row r="814" spans="1:10" ht="27" customHeight="1">
      <c r="A814" s="29"/>
      <c r="B814" s="98" t="str">
        <f t="shared" si="12"/>
        <v/>
      </c>
      <c r="C814" s="29"/>
      <c r="D814" s="29"/>
      <c r="E814" s="29"/>
      <c r="F814" s="29"/>
      <c r="G814" s="29"/>
      <c r="H814" s="29"/>
      <c r="I814" s="29"/>
      <c r="J814" s="98" t="str" cm="1">
        <f t="array" ref="J814">IF(ISBLANK($C814),"",SUMPRODUCT(--(LEFT(D814:I814, 1) = "*"))*50)</f>
        <v/>
      </c>
    </row>
    <row r="815" spans="1:10" ht="27" customHeight="1">
      <c r="A815" s="29"/>
      <c r="B815" s="98" t="str">
        <f t="shared" si="12"/>
        <v/>
      </c>
      <c r="C815" s="29"/>
      <c r="D815" s="29"/>
      <c r="E815" s="29"/>
      <c r="F815" s="29"/>
      <c r="G815" s="29"/>
      <c r="H815" s="29"/>
      <c r="I815" s="29"/>
      <c r="J815" s="98" t="str" cm="1">
        <f t="array" ref="J815">IF(ISBLANK($C815),"",SUMPRODUCT(--(LEFT(D815:I815, 1) = "*"))*50)</f>
        <v/>
      </c>
    </row>
    <row r="816" spans="1:10" ht="27" customHeight="1">
      <c r="A816" s="29"/>
      <c r="B816" s="98" t="str">
        <f t="shared" si="12"/>
        <v/>
      </c>
      <c r="C816" s="29"/>
      <c r="D816" s="29"/>
      <c r="E816" s="29"/>
      <c r="F816" s="29"/>
      <c r="G816" s="29"/>
      <c r="H816" s="29"/>
      <c r="I816" s="29"/>
      <c r="J816" s="98" t="str" cm="1">
        <f t="array" ref="J816">IF(ISBLANK($C816),"",SUMPRODUCT(--(LEFT(D816:I816, 1) = "*"))*50)</f>
        <v/>
      </c>
    </row>
    <row r="817" spans="1:10" ht="27" customHeight="1">
      <c r="A817" s="29"/>
      <c r="B817" s="98" t="str">
        <f t="shared" si="12"/>
        <v/>
      </c>
      <c r="C817" s="29"/>
      <c r="D817" s="29"/>
      <c r="E817" s="29"/>
      <c r="F817" s="29"/>
      <c r="G817" s="29"/>
      <c r="H817" s="29"/>
      <c r="I817" s="29"/>
      <c r="J817" s="98" t="str" cm="1">
        <f t="array" ref="J817">IF(ISBLANK($C817),"",SUMPRODUCT(--(LEFT(D817:I817, 1) = "*"))*50)</f>
        <v/>
      </c>
    </row>
    <row r="818" spans="1:10" ht="27" customHeight="1">
      <c r="A818" s="29"/>
      <c r="B818" s="98" t="str">
        <f t="shared" si="12"/>
        <v/>
      </c>
      <c r="C818" s="29"/>
      <c r="D818" s="29"/>
      <c r="E818" s="29"/>
      <c r="F818" s="29"/>
      <c r="G818" s="29"/>
      <c r="H818" s="29"/>
      <c r="I818" s="29"/>
      <c r="J818" s="98" t="str" cm="1">
        <f t="array" ref="J818">IF(ISBLANK($C818),"",SUMPRODUCT(--(LEFT(D818:I818, 1) = "*"))*50)</f>
        <v/>
      </c>
    </row>
    <row r="819" spans="1:10" ht="27" customHeight="1">
      <c r="A819" s="29"/>
      <c r="B819" s="98" t="str">
        <f t="shared" si="12"/>
        <v/>
      </c>
      <c r="C819" s="29"/>
      <c r="D819" s="29"/>
      <c r="E819" s="29"/>
      <c r="F819" s="29"/>
      <c r="G819" s="29"/>
      <c r="H819" s="29"/>
      <c r="I819" s="29"/>
      <c r="J819" s="98" t="str" cm="1">
        <f t="array" ref="J819">IF(ISBLANK($C819),"",SUMPRODUCT(--(LEFT(D819:I819, 1) = "*"))*50)</f>
        <v/>
      </c>
    </row>
    <row r="820" spans="1:10" ht="27" customHeight="1">
      <c r="A820" s="29"/>
      <c r="B820" s="98" t="str">
        <f t="shared" si="12"/>
        <v/>
      </c>
      <c r="C820" s="29"/>
      <c r="D820" s="29"/>
      <c r="E820" s="29"/>
      <c r="F820" s="29"/>
      <c r="G820" s="29"/>
      <c r="H820" s="29"/>
      <c r="I820" s="29"/>
      <c r="J820" s="98" t="str" cm="1">
        <f t="array" ref="J820">IF(ISBLANK($C820),"",SUMPRODUCT(--(LEFT(D820:I820, 1) = "*"))*50)</f>
        <v/>
      </c>
    </row>
    <row r="821" spans="1:10" ht="27" customHeight="1">
      <c r="A821" s="29"/>
      <c r="B821" s="98" t="str">
        <f t="shared" si="12"/>
        <v/>
      </c>
      <c r="C821" s="29"/>
      <c r="D821" s="29"/>
      <c r="E821" s="29"/>
      <c r="F821" s="29"/>
      <c r="G821" s="29"/>
      <c r="H821" s="29"/>
      <c r="I821" s="29"/>
      <c r="J821" s="98" t="str" cm="1">
        <f t="array" ref="J821">IF(ISBLANK($C821),"",SUMPRODUCT(--(LEFT(D821:I821, 1) = "*"))*50)</f>
        <v/>
      </c>
    </row>
    <row r="822" spans="1:10" ht="27" customHeight="1">
      <c r="A822" s="29"/>
      <c r="B822" s="98" t="str">
        <f t="shared" si="12"/>
        <v/>
      </c>
      <c r="C822" s="29"/>
      <c r="D822" s="29"/>
      <c r="E822" s="29"/>
      <c r="F822" s="29"/>
      <c r="G822" s="29"/>
      <c r="H822" s="29"/>
      <c r="I822" s="29"/>
      <c r="J822" s="98" t="str" cm="1">
        <f t="array" ref="J822">IF(ISBLANK($C822),"",SUMPRODUCT(--(LEFT(D822:I822, 1) = "*"))*50)</f>
        <v/>
      </c>
    </row>
    <row r="823" spans="1:10" ht="27" customHeight="1">
      <c r="A823" s="29"/>
      <c r="B823" s="98" t="str">
        <f t="shared" si="12"/>
        <v/>
      </c>
      <c r="C823" s="29"/>
      <c r="D823" s="29"/>
      <c r="E823" s="29"/>
      <c r="F823" s="29"/>
      <c r="G823" s="29"/>
      <c r="H823" s="29"/>
      <c r="I823" s="29"/>
      <c r="J823" s="98" t="str" cm="1">
        <f t="array" ref="J823">IF(ISBLANK($C823),"",SUMPRODUCT(--(LEFT(D823:I823, 1) = "*"))*50)</f>
        <v/>
      </c>
    </row>
    <row r="824" spans="1:10" ht="27" customHeight="1">
      <c r="A824" s="29"/>
      <c r="B824" s="98" t="str">
        <f t="shared" si="12"/>
        <v/>
      </c>
      <c r="C824" s="29"/>
      <c r="D824" s="29"/>
      <c r="E824" s="29"/>
      <c r="F824" s="29"/>
      <c r="G824" s="29"/>
      <c r="H824" s="29"/>
      <c r="I824" s="29"/>
      <c r="J824" s="98" t="str" cm="1">
        <f t="array" ref="J824">IF(ISBLANK($C824),"",SUMPRODUCT(--(LEFT(D824:I824, 1) = "*"))*50)</f>
        <v/>
      </c>
    </row>
    <row r="825" spans="1:10" ht="27" customHeight="1">
      <c r="A825" s="29"/>
      <c r="B825" s="98" t="str">
        <f t="shared" si="12"/>
        <v/>
      </c>
      <c r="C825" s="29"/>
      <c r="D825" s="29"/>
      <c r="E825" s="29"/>
      <c r="F825" s="29"/>
      <c r="G825" s="29"/>
      <c r="H825" s="29"/>
      <c r="I825" s="29"/>
      <c r="J825" s="98" t="str" cm="1">
        <f t="array" ref="J825">IF(ISBLANK($C825),"",SUMPRODUCT(--(LEFT(D825:I825, 1) = "*"))*50)</f>
        <v/>
      </c>
    </row>
    <row r="826" spans="1:10" ht="27" customHeight="1">
      <c r="A826" s="29"/>
      <c r="B826" s="98" t="str">
        <f t="shared" si="12"/>
        <v/>
      </c>
      <c r="C826" s="29"/>
      <c r="D826" s="29"/>
      <c r="E826" s="29"/>
      <c r="F826" s="29"/>
      <c r="G826" s="29"/>
      <c r="H826" s="29"/>
      <c r="I826" s="29"/>
      <c r="J826" s="98" t="str" cm="1">
        <f t="array" ref="J826">IF(ISBLANK($C826),"",SUMPRODUCT(--(LEFT(D826:I826, 1) = "*"))*50)</f>
        <v/>
      </c>
    </row>
    <row r="827" spans="1:10" ht="27" customHeight="1">
      <c r="A827" s="29"/>
      <c r="B827" s="98" t="str">
        <f t="shared" si="12"/>
        <v/>
      </c>
      <c r="C827" s="29"/>
      <c r="D827" s="29"/>
      <c r="E827" s="29"/>
      <c r="F827" s="29"/>
      <c r="G827" s="29"/>
      <c r="H827" s="29"/>
      <c r="I827" s="29"/>
      <c r="J827" s="98" t="str" cm="1">
        <f t="array" ref="J827">IF(ISBLANK($C827),"",SUMPRODUCT(--(LEFT(D827:I827, 1) = "*"))*50)</f>
        <v/>
      </c>
    </row>
    <row r="828" spans="1:10" ht="27" customHeight="1">
      <c r="A828" s="29"/>
      <c r="B828" s="98" t="str">
        <f t="shared" si="12"/>
        <v/>
      </c>
      <c r="C828" s="29"/>
      <c r="D828" s="29"/>
      <c r="E828" s="29"/>
      <c r="F828" s="29"/>
      <c r="G828" s="29"/>
      <c r="H828" s="29"/>
      <c r="I828" s="29"/>
      <c r="J828" s="98" t="str" cm="1">
        <f t="array" ref="J828">IF(ISBLANK($C828),"",SUMPRODUCT(--(LEFT(D828:I828, 1) = "*"))*50)</f>
        <v/>
      </c>
    </row>
    <row r="829" spans="1:10" ht="27" customHeight="1">
      <c r="A829" s="29"/>
      <c r="B829" s="98" t="str">
        <f t="shared" si="12"/>
        <v/>
      </c>
      <c r="C829" s="29"/>
      <c r="D829" s="29"/>
      <c r="E829" s="29"/>
      <c r="F829" s="29"/>
      <c r="G829" s="29"/>
      <c r="H829" s="29"/>
      <c r="I829" s="29"/>
      <c r="J829" s="98" t="str" cm="1">
        <f t="array" ref="J829">IF(ISBLANK($C829),"",SUMPRODUCT(--(LEFT(D829:I829, 1) = "*"))*50)</f>
        <v/>
      </c>
    </row>
    <row r="830" spans="1:10" ht="27" customHeight="1">
      <c r="A830" s="29"/>
      <c r="B830" s="98" t="str">
        <f t="shared" si="12"/>
        <v/>
      </c>
      <c r="C830" s="29"/>
      <c r="D830" s="29"/>
      <c r="E830" s="29"/>
      <c r="F830" s="29"/>
      <c r="G830" s="29"/>
      <c r="H830" s="29"/>
      <c r="I830" s="29"/>
      <c r="J830" s="98" t="str" cm="1">
        <f t="array" ref="J830">IF(ISBLANK($C830),"",SUMPRODUCT(--(LEFT(D830:I830, 1) = "*"))*50)</f>
        <v/>
      </c>
    </row>
    <row r="831" spans="1:10" ht="27" customHeight="1">
      <c r="A831" s="29"/>
      <c r="B831" s="98" t="str">
        <f t="shared" si="12"/>
        <v/>
      </c>
      <c r="C831" s="29"/>
      <c r="D831" s="29"/>
      <c r="E831" s="29"/>
      <c r="F831" s="29"/>
      <c r="G831" s="29"/>
      <c r="H831" s="29"/>
      <c r="I831" s="29"/>
      <c r="J831" s="98" t="str" cm="1">
        <f t="array" ref="J831">IF(ISBLANK($C831),"",SUMPRODUCT(--(LEFT(D831:I831, 1) = "*"))*50)</f>
        <v/>
      </c>
    </row>
    <row r="832" spans="1:10" ht="27" customHeight="1">
      <c r="A832" s="29"/>
      <c r="B832" s="98" t="str">
        <f t="shared" si="12"/>
        <v/>
      </c>
      <c r="C832" s="29"/>
      <c r="D832" s="29"/>
      <c r="E832" s="29"/>
      <c r="F832" s="29"/>
      <c r="G832" s="29"/>
      <c r="H832" s="29"/>
      <c r="I832" s="29"/>
      <c r="J832" s="98" t="str" cm="1">
        <f t="array" ref="J832">IF(ISBLANK($C832),"",SUMPRODUCT(--(LEFT(D832:I832, 1) = "*"))*50)</f>
        <v/>
      </c>
    </row>
    <row r="833" spans="1:10" ht="27" customHeight="1">
      <c r="A833" s="29"/>
      <c r="B833" s="98" t="str">
        <f t="shared" si="12"/>
        <v/>
      </c>
      <c r="C833" s="29"/>
      <c r="D833" s="29"/>
      <c r="E833" s="29"/>
      <c r="F833" s="29"/>
      <c r="G833" s="29"/>
      <c r="H833" s="29"/>
      <c r="I833" s="29"/>
      <c r="J833" s="98" t="str" cm="1">
        <f t="array" ref="J833">IF(ISBLANK($C833),"",SUMPRODUCT(--(LEFT(D833:I833, 1) = "*"))*50)</f>
        <v/>
      </c>
    </row>
    <row r="834" spans="1:10" ht="27" customHeight="1">
      <c r="A834" s="29"/>
      <c r="B834" s="98" t="str">
        <f t="shared" si="12"/>
        <v/>
      </c>
      <c r="C834" s="29"/>
      <c r="D834" s="29"/>
      <c r="E834" s="29"/>
      <c r="F834" s="29"/>
      <c r="G834" s="29"/>
      <c r="H834" s="29"/>
      <c r="I834" s="29"/>
      <c r="J834" s="98" t="str" cm="1">
        <f t="array" ref="J834">IF(ISBLANK($C834),"",SUMPRODUCT(--(LEFT(D834:I834, 1) = "*"))*50)</f>
        <v/>
      </c>
    </row>
    <row r="835" spans="1:10" ht="27" customHeight="1">
      <c r="A835" s="29"/>
      <c r="B835" s="98" t="str">
        <f t="shared" ref="B835:B898" si="13">IF(ISBLANK($C835),"","MCQ")</f>
        <v/>
      </c>
      <c r="C835" s="29"/>
      <c r="D835" s="29"/>
      <c r="E835" s="29"/>
      <c r="F835" s="29"/>
      <c r="G835" s="29"/>
      <c r="H835" s="29"/>
      <c r="I835" s="29"/>
      <c r="J835" s="98" t="str" cm="1">
        <f t="array" ref="J835">IF(ISBLANK($C835),"",SUMPRODUCT(--(LEFT(D835:I835, 1) = "*"))*50)</f>
        <v/>
      </c>
    </row>
    <row r="836" spans="1:10" ht="27" customHeight="1">
      <c r="A836" s="29"/>
      <c r="B836" s="98" t="str">
        <f t="shared" si="13"/>
        <v/>
      </c>
      <c r="C836" s="29"/>
      <c r="D836" s="29"/>
      <c r="E836" s="29"/>
      <c r="F836" s="29"/>
      <c r="G836" s="29"/>
      <c r="H836" s="29"/>
      <c r="I836" s="29"/>
      <c r="J836" s="98" t="str" cm="1">
        <f t="array" ref="J836">IF(ISBLANK($C836),"",SUMPRODUCT(--(LEFT(D836:I836, 1) = "*"))*50)</f>
        <v/>
      </c>
    </row>
    <row r="837" spans="1:10" ht="27" customHeight="1">
      <c r="A837" s="29"/>
      <c r="B837" s="98" t="str">
        <f t="shared" si="13"/>
        <v/>
      </c>
      <c r="C837" s="29"/>
      <c r="D837" s="29"/>
      <c r="E837" s="29"/>
      <c r="F837" s="29"/>
      <c r="G837" s="29"/>
      <c r="H837" s="29"/>
      <c r="I837" s="29"/>
      <c r="J837" s="98" t="str" cm="1">
        <f t="array" ref="J837">IF(ISBLANK($C837),"",SUMPRODUCT(--(LEFT(D837:I837, 1) = "*"))*50)</f>
        <v/>
      </c>
    </row>
    <row r="838" spans="1:10" ht="27" customHeight="1">
      <c r="A838" s="29"/>
      <c r="B838" s="98" t="str">
        <f t="shared" si="13"/>
        <v/>
      </c>
      <c r="C838" s="29"/>
      <c r="D838" s="29"/>
      <c r="E838" s="29"/>
      <c r="F838" s="29"/>
      <c r="G838" s="29"/>
      <c r="H838" s="29"/>
      <c r="I838" s="29"/>
      <c r="J838" s="98" t="str" cm="1">
        <f t="array" ref="J838">IF(ISBLANK($C838),"",SUMPRODUCT(--(LEFT(D838:I838, 1) = "*"))*50)</f>
        <v/>
      </c>
    </row>
    <row r="839" spans="1:10" ht="27" customHeight="1">
      <c r="A839" s="29"/>
      <c r="B839" s="98" t="str">
        <f t="shared" si="13"/>
        <v/>
      </c>
      <c r="C839" s="29"/>
      <c r="D839" s="29"/>
      <c r="E839" s="29"/>
      <c r="F839" s="29"/>
      <c r="G839" s="29"/>
      <c r="H839" s="29"/>
      <c r="I839" s="29"/>
      <c r="J839" s="98" t="str" cm="1">
        <f t="array" ref="J839">IF(ISBLANK($C839),"",SUMPRODUCT(--(LEFT(D839:I839, 1) = "*"))*50)</f>
        <v/>
      </c>
    </row>
    <row r="840" spans="1:10" ht="27" customHeight="1">
      <c r="A840" s="29"/>
      <c r="B840" s="98" t="str">
        <f t="shared" si="13"/>
        <v/>
      </c>
      <c r="C840" s="29"/>
      <c r="D840" s="29"/>
      <c r="E840" s="29"/>
      <c r="F840" s="29"/>
      <c r="G840" s="29"/>
      <c r="H840" s="29"/>
      <c r="I840" s="29"/>
      <c r="J840" s="98" t="str" cm="1">
        <f t="array" ref="J840">IF(ISBLANK($C840),"",SUMPRODUCT(--(LEFT(D840:I840, 1) = "*"))*50)</f>
        <v/>
      </c>
    </row>
    <row r="841" spans="1:10" ht="27" customHeight="1">
      <c r="A841" s="29"/>
      <c r="B841" s="98" t="str">
        <f t="shared" si="13"/>
        <v/>
      </c>
      <c r="C841" s="29"/>
      <c r="D841" s="29"/>
      <c r="E841" s="29"/>
      <c r="F841" s="29"/>
      <c r="G841" s="29"/>
      <c r="H841" s="29"/>
      <c r="I841" s="29"/>
      <c r="J841" s="98" t="str" cm="1">
        <f t="array" ref="J841">IF(ISBLANK($C841),"",SUMPRODUCT(--(LEFT(D841:I841, 1) = "*"))*50)</f>
        <v/>
      </c>
    </row>
    <row r="842" spans="1:10" ht="27" customHeight="1">
      <c r="A842" s="29"/>
      <c r="B842" s="98" t="str">
        <f t="shared" si="13"/>
        <v/>
      </c>
      <c r="C842" s="29"/>
      <c r="D842" s="29"/>
      <c r="E842" s="29"/>
      <c r="F842" s="29"/>
      <c r="G842" s="29"/>
      <c r="H842" s="29"/>
      <c r="I842" s="29"/>
      <c r="J842" s="98" t="str" cm="1">
        <f t="array" ref="J842">IF(ISBLANK($C842),"",SUMPRODUCT(--(LEFT(D842:I842, 1) = "*"))*50)</f>
        <v/>
      </c>
    </row>
    <row r="843" spans="1:10" ht="27" customHeight="1">
      <c r="A843" s="29"/>
      <c r="B843" s="98" t="str">
        <f t="shared" si="13"/>
        <v/>
      </c>
      <c r="C843" s="29"/>
      <c r="D843" s="29"/>
      <c r="E843" s="29"/>
      <c r="F843" s="29"/>
      <c r="G843" s="29"/>
      <c r="H843" s="29"/>
      <c r="I843" s="29"/>
      <c r="J843" s="98" t="str" cm="1">
        <f t="array" ref="J843">IF(ISBLANK($C843),"",SUMPRODUCT(--(LEFT(D843:I843, 1) = "*"))*50)</f>
        <v/>
      </c>
    </row>
    <row r="844" spans="1:10" ht="27" customHeight="1">
      <c r="A844" s="29"/>
      <c r="B844" s="98" t="str">
        <f t="shared" si="13"/>
        <v/>
      </c>
      <c r="C844" s="29"/>
      <c r="D844" s="29"/>
      <c r="E844" s="29"/>
      <c r="F844" s="29"/>
      <c r="G844" s="29"/>
      <c r="H844" s="29"/>
      <c r="I844" s="29"/>
      <c r="J844" s="98" t="str" cm="1">
        <f t="array" ref="J844">IF(ISBLANK($C844),"",SUMPRODUCT(--(LEFT(D844:I844, 1) = "*"))*50)</f>
        <v/>
      </c>
    </row>
    <row r="845" spans="1:10" ht="27" customHeight="1">
      <c r="A845" s="29"/>
      <c r="B845" s="98" t="str">
        <f t="shared" si="13"/>
        <v/>
      </c>
      <c r="C845" s="29"/>
      <c r="D845" s="29"/>
      <c r="E845" s="29"/>
      <c r="F845" s="29"/>
      <c r="G845" s="29"/>
      <c r="H845" s="29"/>
      <c r="I845" s="29"/>
      <c r="J845" s="98" t="str" cm="1">
        <f t="array" ref="J845">IF(ISBLANK($C845),"",SUMPRODUCT(--(LEFT(D845:I845, 1) = "*"))*50)</f>
        <v/>
      </c>
    </row>
    <row r="846" spans="1:10" ht="27" customHeight="1">
      <c r="A846" s="29"/>
      <c r="B846" s="98" t="str">
        <f t="shared" si="13"/>
        <v/>
      </c>
      <c r="C846" s="29"/>
      <c r="D846" s="29"/>
      <c r="E846" s="29"/>
      <c r="F846" s="29"/>
      <c r="G846" s="29"/>
      <c r="H846" s="29"/>
      <c r="I846" s="29"/>
      <c r="J846" s="98" t="str" cm="1">
        <f t="array" ref="J846">IF(ISBLANK($C846),"",SUMPRODUCT(--(LEFT(D846:I846, 1) = "*"))*50)</f>
        <v/>
      </c>
    </row>
    <row r="847" spans="1:10" ht="27" customHeight="1">
      <c r="A847" s="29"/>
      <c r="B847" s="98" t="str">
        <f t="shared" si="13"/>
        <v/>
      </c>
      <c r="C847" s="29"/>
      <c r="D847" s="29"/>
      <c r="E847" s="29"/>
      <c r="F847" s="29"/>
      <c r="G847" s="29"/>
      <c r="H847" s="29"/>
      <c r="I847" s="29"/>
      <c r="J847" s="98" t="str" cm="1">
        <f t="array" ref="J847">IF(ISBLANK($C847),"",SUMPRODUCT(--(LEFT(D847:I847, 1) = "*"))*50)</f>
        <v/>
      </c>
    </row>
    <row r="848" spans="1:10" ht="27" customHeight="1">
      <c r="A848" s="29"/>
      <c r="B848" s="98" t="str">
        <f t="shared" si="13"/>
        <v/>
      </c>
      <c r="C848" s="29"/>
      <c r="D848" s="29"/>
      <c r="E848" s="29"/>
      <c r="F848" s="29"/>
      <c r="G848" s="29"/>
      <c r="H848" s="29"/>
      <c r="I848" s="29"/>
      <c r="J848" s="98" t="str" cm="1">
        <f t="array" ref="J848">IF(ISBLANK($C848),"",SUMPRODUCT(--(LEFT(D848:I848, 1) = "*"))*50)</f>
        <v/>
      </c>
    </row>
    <row r="849" spans="1:10" ht="27" customHeight="1">
      <c r="A849" s="29"/>
      <c r="B849" s="98" t="str">
        <f t="shared" si="13"/>
        <v/>
      </c>
      <c r="C849" s="29"/>
      <c r="D849" s="29"/>
      <c r="E849" s="29"/>
      <c r="F849" s="29"/>
      <c r="G849" s="29"/>
      <c r="H849" s="29"/>
      <c r="I849" s="29"/>
      <c r="J849" s="98" t="str" cm="1">
        <f t="array" ref="J849">IF(ISBLANK($C849),"",SUMPRODUCT(--(LEFT(D849:I849, 1) = "*"))*50)</f>
        <v/>
      </c>
    </row>
    <row r="850" spans="1:10" ht="27" customHeight="1">
      <c r="A850" s="29"/>
      <c r="B850" s="98" t="str">
        <f t="shared" si="13"/>
        <v/>
      </c>
      <c r="C850" s="29"/>
      <c r="D850" s="29"/>
      <c r="E850" s="29"/>
      <c r="F850" s="29"/>
      <c r="G850" s="29"/>
      <c r="H850" s="29"/>
      <c r="I850" s="29"/>
      <c r="J850" s="98" t="str" cm="1">
        <f t="array" ref="J850">IF(ISBLANK($C850),"",SUMPRODUCT(--(LEFT(D850:I850, 1) = "*"))*50)</f>
        <v/>
      </c>
    </row>
    <row r="851" spans="1:10" ht="27" customHeight="1">
      <c r="A851" s="29"/>
      <c r="B851" s="98" t="str">
        <f t="shared" si="13"/>
        <v/>
      </c>
      <c r="C851" s="29"/>
      <c r="D851" s="29"/>
      <c r="E851" s="29"/>
      <c r="F851" s="29"/>
      <c r="G851" s="29"/>
      <c r="H851" s="29"/>
      <c r="I851" s="29"/>
      <c r="J851" s="98" t="str" cm="1">
        <f t="array" ref="J851">IF(ISBLANK($C851),"",SUMPRODUCT(--(LEFT(D851:I851, 1) = "*"))*50)</f>
        <v/>
      </c>
    </row>
    <row r="852" spans="1:10" ht="27" customHeight="1">
      <c r="A852" s="29"/>
      <c r="B852" s="98" t="str">
        <f t="shared" si="13"/>
        <v/>
      </c>
      <c r="C852" s="29"/>
      <c r="D852" s="29"/>
      <c r="E852" s="29"/>
      <c r="F852" s="29"/>
      <c r="G852" s="29"/>
      <c r="H852" s="29"/>
      <c r="I852" s="29"/>
      <c r="J852" s="98" t="str" cm="1">
        <f t="array" ref="J852">IF(ISBLANK($C852),"",SUMPRODUCT(--(LEFT(D852:I852, 1) = "*"))*50)</f>
        <v/>
      </c>
    </row>
    <row r="853" spans="1:10" ht="27" customHeight="1">
      <c r="A853" s="29"/>
      <c r="B853" s="98" t="str">
        <f t="shared" si="13"/>
        <v/>
      </c>
      <c r="C853" s="29"/>
      <c r="D853" s="29"/>
      <c r="E853" s="29"/>
      <c r="F853" s="29"/>
      <c r="G853" s="29"/>
      <c r="H853" s="29"/>
      <c r="I853" s="29"/>
      <c r="J853" s="98" t="str" cm="1">
        <f t="array" ref="J853">IF(ISBLANK($C853),"",SUMPRODUCT(--(LEFT(D853:I853, 1) = "*"))*50)</f>
        <v/>
      </c>
    </row>
    <row r="854" spans="1:10" ht="27" customHeight="1">
      <c r="A854" s="29"/>
      <c r="B854" s="98" t="str">
        <f t="shared" si="13"/>
        <v/>
      </c>
      <c r="C854" s="29"/>
      <c r="D854" s="29"/>
      <c r="E854" s="29"/>
      <c r="F854" s="29"/>
      <c r="G854" s="29"/>
      <c r="H854" s="29"/>
      <c r="I854" s="29"/>
      <c r="J854" s="98" t="str" cm="1">
        <f t="array" ref="J854">IF(ISBLANK($C854),"",SUMPRODUCT(--(LEFT(D854:I854, 1) = "*"))*50)</f>
        <v/>
      </c>
    </row>
    <row r="855" spans="1:10" ht="27" customHeight="1">
      <c r="A855" s="29"/>
      <c r="B855" s="98" t="str">
        <f t="shared" si="13"/>
        <v/>
      </c>
      <c r="C855" s="29"/>
      <c r="D855" s="29"/>
      <c r="E855" s="29"/>
      <c r="F855" s="29"/>
      <c r="G855" s="29"/>
      <c r="H855" s="29"/>
      <c r="I855" s="29"/>
      <c r="J855" s="98" t="str" cm="1">
        <f t="array" ref="J855">IF(ISBLANK($C855),"",SUMPRODUCT(--(LEFT(D855:I855, 1) = "*"))*50)</f>
        <v/>
      </c>
    </row>
    <row r="856" spans="1:10" ht="27" customHeight="1">
      <c r="A856" s="29"/>
      <c r="B856" s="98" t="str">
        <f t="shared" si="13"/>
        <v/>
      </c>
      <c r="C856" s="29"/>
      <c r="D856" s="29"/>
      <c r="E856" s="29"/>
      <c r="F856" s="29"/>
      <c r="G856" s="29"/>
      <c r="H856" s="29"/>
      <c r="I856" s="29"/>
      <c r="J856" s="98" t="str" cm="1">
        <f t="array" ref="J856">IF(ISBLANK($C856),"",SUMPRODUCT(--(LEFT(D856:I856, 1) = "*"))*50)</f>
        <v/>
      </c>
    </row>
    <row r="857" spans="1:10" ht="27" customHeight="1">
      <c r="A857" s="29"/>
      <c r="B857" s="98" t="str">
        <f t="shared" si="13"/>
        <v/>
      </c>
      <c r="C857" s="29"/>
      <c r="D857" s="29"/>
      <c r="E857" s="29"/>
      <c r="F857" s="29"/>
      <c r="G857" s="29"/>
      <c r="H857" s="29"/>
      <c r="I857" s="29"/>
      <c r="J857" s="98" t="str" cm="1">
        <f t="array" ref="J857">IF(ISBLANK($C857),"",SUMPRODUCT(--(LEFT(D857:I857, 1) = "*"))*50)</f>
        <v/>
      </c>
    </row>
    <row r="858" spans="1:10" ht="27" customHeight="1">
      <c r="A858" s="29"/>
      <c r="B858" s="98" t="str">
        <f t="shared" si="13"/>
        <v/>
      </c>
      <c r="C858" s="29"/>
      <c r="D858" s="29"/>
      <c r="E858" s="29"/>
      <c r="F858" s="29"/>
      <c r="G858" s="29"/>
      <c r="H858" s="29"/>
      <c r="I858" s="29"/>
      <c r="J858" s="98" t="str" cm="1">
        <f t="array" ref="J858">IF(ISBLANK($C858),"",SUMPRODUCT(--(LEFT(D858:I858, 1) = "*"))*50)</f>
        <v/>
      </c>
    </row>
    <row r="859" spans="1:10" ht="27" customHeight="1">
      <c r="A859" s="29"/>
      <c r="B859" s="98" t="str">
        <f t="shared" si="13"/>
        <v/>
      </c>
      <c r="C859" s="29"/>
      <c r="D859" s="29"/>
      <c r="E859" s="29"/>
      <c r="F859" s="29"/>
      <c r="G859" s="29"/>
      <c r="H859" s="29"/>
      <c r="I859" s="29"/>
      <c r="J859" s="98" t="str" cm="1">
        <f t="array" ref="J859">IF(ISBLANK($C859),"",SUMPRODUCT(--(LEFT(D859:I859, 1) = "*"))*50)</f>
        <v/>
      </c>
    </row>
    <row r="860" spans="1:10" ht="27" customHeight="1">
      <c r="A860" s="29"/>
      <c r="B860" s="98" t="str">
        <f t="shared" si="13"/>
        <v/>
      </c>
      <c r="C860" s="29"/>
      <c r="D860" s="29"/>
      <c r="E860" s="29"/>
      <c r="F860" s="29"/>
      <c r="G860" s="29"/>
      <c r="H860" s="29"/>
      <c r="I860" s="29"/>
      <c r="J860" s="98" t="str" cm="1">
        <f t="array" ref="J860">IF(ISBLANK($C860),"",SUMPRODUCT(--(LEFT(D860:I860, 1) = "*"))*50)</f>
        <v/>
      </c>
    </row>
    <row r="861" spans="1:10" ht="27" customHeight="1">
      <c r="A861" s="29"/>
      <c r="B861" s="98" t="str">
        <f t="shared" si="13"/>
        <v/>
      </c>
      <c r="C861" s="29"/>
      <c r="D861" s="29"/>
      <c r="E861" s="29"/>
      <c r="F861" s="29"/>
      <c r="G861" s="29"/>
      <c r="H861" s="29"/>
      <c r="I861" s="29"/>
      <c r="J861" s="98" t="str" cm="1">
        <f t="array" ref="J861">IF(ISBLANK($C861),"",SUMPRODUCT(--(LEFT(D861:I861, 1) = "*"))*50)</f>
        <v/>
      </c>
    </row>
    <row r="862" spans="1:10" ht="27" customHeight="1">
      <c r="A862" s="29"/>
      <c r="B862" s="98" t="str">
        <f t="shared" si="13"/>
        <v/>
      </c>
      <c r="C862" s="29"/>
      <c r="D862" s="29"/>
      <c r="E862" s="29"/>
      <c r="F862" s="29"/>
      <c r="G862" s="29"/>
      <c r="H862" s="29"/>
      <c r="I862" s="29"/>
      <c r="J862" s="98" t="str" cm="1">
        <f t="array" ref="J862">IF(ISBLANK($C862),"",SUMPRODUCT(--(LEFT(D862:I862, 1) = "*"))*50)</f>
        <v/>
      </c>
    </row>
    <row r="863" spans="1:10" ht="27" customHeight="1">
      <c r="A863" s="29"/>
      <c r="B863" s="98" t="str">
        <f t="shared" si="13"/>
        <v/>
      </c>
      <c r="C863" s="29"/>
      <c r="D863" s="29"/>
      <c r="E863" s="29"/>
      <c r="F863" s="29"/>
      <c r="G863" s="29"/>
      <c r="H863" s="29"/>
      <c r="I863" s="29"/>
      <c r="J863" s="98" t="str" cm="1">
        <f t="array" ref="J863">IF(ISBLANK($C863),"",SUMPRODUCT(--(LEFT(D863:I863, 1) = "*"))*50)</f>
        <v/>
      </c>
    </row>
    <row r="864" spans="1:10" ht="27" customHeight="1">
      <c r="A864" s="29"/>
      <c r="B864" s="98" t="str">
        <f t="shared" si="13"/>
        <v/>
      </c>
      <c r="C864" s="29"/>
      <c r="D864" s="29"/>
      <c r="E864" s="29"/>
      <c r="F864" s="29"/>
      <c r="G864" s="29"/>
      <c r="H864" s="29"/>
      <c r="I864" s="29"/>
      <c r="J864" s="98" t="str" cm="1">
        <f t="array" ref="J864">IF(ISBLANK($C864),"",SUMPRODUCT(--(LEFT(D864:I864, 1) = "*"))*50)</f>
        <v/>
      </c>
    </row>
    <row r="865" spans="1:10" ht="27" customHeight="1">
      <c r="A865" s="29"/>
      <c r="B865" s="98" t="str">
        <f t="shared" si="13"/>
        <v/>
      </c>
      <c r="C865" s="29"/>
      <c r="D865" s="29"/>
      <c r="E865" s="29"/>
      <c r="F865" s="29"/>
      <c r="G865" s="29"/>
      <c r="H865" s="29"/>
      <c r="I865" s="29"/>
      <c r="J865" s="98" t="str" cm="1">
        <f t="array" ref="J865">IF(ISBLANK($C865),"",SUMPRODUCT(--(LEFT(D865:I865, 1) = "*"))*50)</f>
        <v/>
      </c>
    </row>
    <row r="866" spans="1:10" ht="27" customHeight="1">
      <c r="A866" s="29"/>
      <c r="B866" s="98" t="str">
        <f t="shared" si="13"/>
        <v/>
      </c>
      <c r="C866" s="29"/>
      <c r="D866" s="29"/>
      <c r="E866" s="29"/>
      <c r="F866" s="29"/>
      <c r="G866" s="29"/>
      <c r="H866" s="29"/>
      <c r="I866" s="29"/>
      <c r="J866" s="98" t="str" cm="1">
        <f t="array" ref="J866">IF(ISBLANK($C866),"",SUMPRODUCT(--(LEFT(D866:I866, 1) = "*"))*50)</f>
        <v/>
      </c>
    </row>
    <row r="867" spans="1:10" ht="27" customHeight="1">
      <c r="A867" s="29"/>
      <c r="B867" s="98" t="str">
        <f t="shared" si="13"/>
        <v/>
      </c>
      <c r="C867" s="29"/>
      <c r="D867" s="29"/>
      <c r="E867" s="29"/>
      <c r="F867" s="29"/>
      <c r="G867" s="29"/>
      <c r="H867" s="29"/>
      <c r="I867" s="29"/>
      <c r="J867" s="98" t="str" cm="1">
        <f t="array" ref="J867">IF(ISBLANK($C867),"",SUMPRODUCT(--(LEFT(D867:I867, 1) = "*"))*50)</f>
        <v/>
      </c>
    </row>
    <row r="868" spans="1:10" ht="27" customHeight="1">
      <c r="A868" s="29"/>
      <c r="B868" s="98" t="str">
        <f t="shared" si="13"/>
        <v/>
      </c>
      <c r="C868" s="29"/>
      <c r="D868" s="29"/>
      <c r="E868" s="29"/>
      <c r="F868" s="29"/>
      <c r="G868" s="29"/>
      <c r="H868" s="29"/>
      <c r="I868" s="29"/>
      <c r="J868" s="98" t="str" cm="1">
        <f t="array" ref="J868">IF(ISBLANK($C868),"",SUMPRODUCT(--(LEFT(D868:I868, 1) = "*"))*50)</f>
        <v/>
      </c>
    </row>
    <row r="869" spans="1:10" ht="27" customHeight="1">
      <c r="A869" s="29"/>
      <c r="B869" s="98" t="str">
        <f t="shared" si="13"/>
        <v/>
      </c>
      <c r="C869" s="29"/>
      <c r="D869" s="29"/>
      <c r="E869" s="29"/>
      <c r="F869" s="29"/>
      <c r="G869" s="29"/>
      <c r="H869" s="29"/>
      <c r="I869" s="29"/>
      <c r="J869" s="98" t="str" cm="1">
        <f t="array" ref="J869">IF(ISBLANK($C869),"",SUMPRODUCT(--(LEFT(D869:I869, 1) = "*"))*50)</f>
        <v/>
      </c>
    </row>
    <row r="870" spans="1:10" ht="27" customHeight="1">
      <c r="A870" s="29"/>
      <c r="B870" s="98" t="str">
        <f t="shared" si="13"/>
        <v/>
      </c>
      <c r="C870" s="29"/>
      <c r="D870" s="29"/>
      <c r="E870" s="29"/>
      <c r="F870" s="29"/>
      <c r="G870" s="29"/>
      <c r="H870" s="29"/>
      <c r="I870" s="29"/>
      <c r="J870" s="98" t="str" cm="1">
        <f t="array" ref="J870">IF(ISBLANK($C870),"",SUMPRODUCT(--(LEFT(D870:I870, 1) = "*"))*50)</f>
        <v/>
      </c>
    </row>
    <row r="871" spans="1:10" ht="27" customHeight="1">
      <c r="A871" s="29"/>
      <c r="B871" s="98" t="str">
        <f t="shared" si="13"/>
        <v/>
      </c>
      <c r="C871" s="29"/>
      <c r="D871" s="29"/>
      <c r="E871" s="29"/>
      <c r="F871" s="29"/>
      <c r="G871" s="29"/>
      <c r="H871" s="29"/>
      <c r="I871" s="29"/>
      <c r="J871" s="98" t="str" cm="1">
        <f t="array" ref="J871">IF(ISBLANK($C871),"",SUMPRODUCT(--(LEFT(D871:I871, 1) = "*"))*50)</f>
        <v/>
      </c>
    </row>
    <row r="872" spans="1:10" ht="27" customHeight="1">
      <c r="A872" s="29"/>
      <c r="B872" s="98" t="str">
        <f t="shared" si="13"/>
        <v/>
      </c>
      <c r="C872" s="29"/>
      <c r="D872" s="29"/>
      <c r="E872" s="29"/>
      <c r="F872" s="29"/>
      <c r="G872" s="29"/>
      <c r="H872" s="29"/>
      <c r="I872" s="29"/>
      <c r="J872" s="98" t="str" cm="1">
        <f t="array" ref="J872">IF(ISBLANK($C872),"",SUMPRODUCT(--(LEFT(D872:I872, 1) = "*"))*50)</f>
        <v/>
      </c>
    </row>
    <row r="873" spans="1:10" ht="27" customHeight="1">
      <c r="A873" s="29"/>
      <c r="B873" s="98" t="str">
        <f t="shared" si="13"/>
        <v/>
      </c>
      <c r="C873" s="29"/>
      <c r="D873" s="29"/>
      <c r="E873" s="29"/>
      <c r="F873" s="29"/>
      <c r="G873" s="29"/>
      <c r="H873" s="29"/>
      <c r="I873" s="29"/>
      <c r="J873" s="98" t="str" cm="1">
        <f t="array" ref="J873">IF(ISBLANK($C873),"",SUMPRODUCT(--(LEFT(D873:I873, 1) = "*"))*50)</f>
        <v/>
      </c>
    </row>
    <row r="874" spans="1:10" ht="27" customHeight="1">
      <c r="A874" s="29"/>
      <c r="B874" s="98" t="str">
        <f t="shared" si="13"/>
        <v/>
      </c>
      <c r="C874" s="29"/>
      <c r="D874" s="29"/>
      <c r="E874" s="29"/>
      <c r="F874" s="29"/>
      <c r="G874" s="29"/>
      <c r="H874" s="29"/>
      <c r="I874" s="29"/>
      <c r="J874" s="98" t="str" cm="1">
        <f t="array" ref="J874">IF(ISBLANK($C874),"",SUMPRODUCT(--(LEFT(D874:I874, 1) = "*"))*50)</f>
        <v/>
      </c>
    </row>
    <row r="875" spans="1:10" ht="27" customHeight="1">
      <c r="A875" s="29"/>
      <c r="B875" s="98" t="str">
        <f t="shared" si="13"/>
        <v/>
      </c>
      <c r="C875" s="29"/>
      <c r="D875" s="29"/>
      <c r="E875" s="29"/>
      <c r="F875" s="29"/>
      <c r="G875" s="29"/>
      <c r="H875" s="29"/>
      <c r="I875" s="29"/>
      <c r="J875" s="98" t="str" cm="1">
        <f t="array" ref="J875">IF(ISBLANK($C875),"",SUMPRODUCT(--(LEFT(D875:I875, 1) = "*"))*50)</f>
        <v/>
      </c>
    </row>
    <row r="876" spans="1:10" ht="27" customHeight="1">
      <c r="A876" s="29"/>
      <c r="B876" s="98" t="str">
        <f t="shared" si="13"/>
        <v/>
      </c>
      <c r="C876" s="29"/>
      <c r="D876" s="29"/>
      <c r="E876" s="29"/>
      <c r="F876" s="29"/>
      <c r="G876" s="29"/>
      <c r="H876" s="29"/>
      <c r="I876" s="29"/>
      <c r="J876" s="98" t="str" cm="1">
        <f t="array" ref="J876">IF(ISBLANK($C876),"",SUMPRODUCT(--(LEFT(D876:I876, 1) = "*"))*50)</f>
        <v/>
      </c>
    </row>
    <row r="877" spans="1:10" ht="27" customHeight="1">
      <c r="A877" s="29"/>
      <c r="B877" s="98" t="str">
        <f t="shared" si="13"/>
        <v/>
      </c>
      <c r="C877" s="29"/>
      <c r="D877" s="29"/>
      <c r="E877" s="29"/>
      <c r="F877" s="29"/>
      <c r="G877" s="29"/>
      <c r="H877" s="29"/>
      <c r="I877" s="29"/>
      <c r="J877" s="98" t="str" cm="1">
        <f t="array" ref="J877">IF(ISBLANK($C877),"",SUMPRODUCT(--(LEFT(D877:I877, 1) = "*"))*50)</f>
        <v/>
      </c>
    </row>
    <row r="878" spans="1:10" ht="27" customHeight="1">
      <c r="A878" s="29"/>
      <c r="B878" s="98" t="str">
        <f t="shared" si="13"/>
        <v/>
      </c>
      <c r="C878" s="29"/>
      <c r="D878" s="29"/>
      <c r="E878" s="29"/>
      <c r="F878" s="29"/>
      <c r="G878" s="29"/>
      <c r="H878" s="29"/>
      <c r="I878" s="29"/>
      <c r="J878" s="98" t="str" cm="1">
        <f t="array" ref="J878">IF(ISBLANK($C878),"",SUMPRODUCT(--(LEFT(D878:I878, 1) = "*"))*50)</f>
        <v/>
      </c>
    </row>
    <row r="879" spans="1:10" ht="27" customHeight="1">
      <c r="A879" s="29"/>
      <c r="B879" s="98" t="str">
        <f t="shared" si="13"/>
        <v/>
      </c>
      <c r="C879" s="29"/>
      <c r="D879" s="29"/>
      <c r="E879" s="29"/>
      <c r="F879" s="29"/>
      <c r="G879" s="29"/>
      <c r="H879" s="29"/>
      <c r="I879" s="29"/>
      <c r="J879" s="98" t="str" cm="1">
        <f t="array" ref="J879">IF(ISBLANK($C879),"",SUMPRODUCT(--(LEFT(D879:I879, 1) = "*"))*50)</f>
        <v/>
      </c>
    </row>
    <row r="880" spans="1:10" ht="27" customHeight="1">
      <c r="A880" s="29"/>
      <c r="B880" s="98" t="str">
        <f t="shared" si="13"/>
        <v/>
      </c>
      <c r="C880" s="29"/>
      <c r="D880" s="29"/>
      <c r="E880" s="29"/>
      <c r="F880" s="29"/>
      <c r="G880" s="29"/>
      <c r="H880" s="29"/>
      <c r="I880" s="29"/>
      <c r="J880" s="98" t="str" cm="1">
        <f t="array" ref="J880">IF(ISBLANK($C880),"",SUMPRODUCT(--(LEFT(D880:I880, 1) = "*"))*50)</f>
        <v/>
      </c>
    </row>
    <row r="881" spans="1:10" ht="27" customHeight="1">
      <c r="A881" s="29"/>
      <c r="B881" s="98" t="str">
        <f t="shared" si="13"/>
        <v/>
      </c>
      <c r="C881" s="29"/>
      <c r="D881" s="29"/>
      <c r="E881" s="29"/>
      <c r="F881" s="29"/>
      <c r="G881" s="29"/>
      <c r="H881" s="29"/>
      <c r="I881" s="29"/>
      <c r="J881" s="98" t="str" cm="1">
        <f t="array" ref="J881">IF(ISBLANK($C881),"",SUMPRODUCT(--(LEFT(D881:I881, 1) = "*"))*50)</f>
        <v/>
      </c>
    </row>
    <row r="882" spans="1:10" ht="27" customHeight="1">
      <c r="A882" s="29"/>
      <c r="B882" s="98" t="str">
        <f t="shared" si="13"/>
        <v/>
      </c>
      <c r="C882" s="29"/>
      <c r="D882" s="29"/>
      <c r="E882" s="29"/>
      <c r="F882" s="29"/>
      <c r="G882" s="29"/>
      <c r="H882" s="29"/>
      <c r="I882" s="29"/>
      <c r="J882" s="98" t="str" cm="1">
        <f t="array" ref="J882">IF(ISBLANK($C882),"",SUMPRODUCT(--(LEFT(D882:I882, 1) = "*"))*50)</f>
        <v/>
      </c>
    </row>
    <row r="883" spans="1:10" ht="27" customHeight="1">
      <c r="A883" s="29"/>
      <c r="B883" s="98" t="str">
        <f t="shared" si="13"/>
        <v/>
      </c>
      <c r="C883" s="29"/>
      <c r="D883" s="29"/>
      <c r="E883" s="29"/>
      <c r="F883" s="29"/>
      <c r="G883" s="29"/>
      <c r="H883" s="29"/>
      <c r="I883" s="29"/>
      <c r="J883" s="98" t="str" cm="1">
        <f t="array" ref="J883">IF(ISBLANK($C883),"",SUMPRODUCT(--(LEFT(D883:I883, 1) = "*"))*50)</f>
        <v/>
      </c>
    </row>
    <row r="884" spans="1:10" ht="27" customHeight="1">
      <c r="A884" s="29"/>
      <c r="B884" s="98" t="str">
        <f t="shared" si="13"/>
        <v/>
      </c>
      <c r="C884" s="29"/>
      <c r="D884" s="29"/>
      <c r="E884" s="29"/>
      <c r="F884" s="29"/>
      <c r="G884" s="29"/>
      <c r="H884" s="29"/>
      <c r="I884" s="29"/>
      <c r="J884" s="98" t="str" cm="1">
        <f t="array" ref="J884">IF(ISBLANK($C884),"",SUMPRODUCT(--(LEFT(D884:I884, 1) = "*"))*50)</f>
        <v/>
      </c>
    </row>
    <row r="885" spans="1:10" ht="27" customHeight="1">
      <c r="A885" s="29"/>
      <c r="B885" s="98" t="str">
        <f t="shared" si="13"/>
        <v/>
      </c>
      <c r="C885" s="29"/>
      <c r="D885" s="29"/>
      <c r="E885" s="29"/>
      <c r="F885" s="29"/>
      <c r="G885" s="29"/>
      <c r="H885" s="29"/>
      <c r="I885" s="29"/>
      <c r="J885" s="98" t="str" cm="1">
        <f t="array" ref="J885">IF(ISBLANK($C885),"",SUMPRODUCT(--(LEFT(D885:I885, 1) = "*"))*50)</f>
        <v/>
      </c>
    </row>
    <row r="886" spans="1:10" ht="27" customHeight="1">
      <c r="A886" s="29"/>
      <c r="B886" s="98" t="str">
        <f t="shared" si="13"/>
        <v/>
      </c>
      <c r="C886" s="29"/>
      <c r="D886" s="29"/>
      <c r="E886" s="29"/>
      <c r="F886" s="29"/>
      <c r="G886" s="29"/>
      <c r="H886" s="29"/>
      <c r="I886" s="29"/>
      <c r="J886" s="98" t="str" cm="1">
        <f t="array" ref="J886">IF(ISBLANK($C886),"",SUMPRODUCT(--(LEFT(D886:I886, 1) = "*"))*50)</f>
        <v/>
      </c>
    </row>
    <row r="887" spans="1:10" ht="27" customHeight="1">
      <c r="A887" s="29"/>
      <c r="B887" s="98" t="str">
        <f t="shared" si="13"/>
        <v/>
      </c>
      <c r="C887" s="29"/>
      <c r="D887" s="29"/>
      <c r="E887" s="29"/>
      <c r="F887" s="29"/>
      <c r="G887" s="29"/>
      <c r="H887" s="29"/>
      <c r="I887" s="29"/>
      <c r="J887" s="98" t="str" cm="1">
        <f t="array" ref="J887">IF(ISBLANK($C887),"",SUMPRODUCT(--(LEFT(D887:I887, 1) = "*"))*50)</f>
        <v/>
      </c>
    </row>
    <row r="888" spans="1:10" ht="27" customHeight="1">
      <c r="A888" s="29"/>
      <c r="B888" s="98" t="str">
        <f t="shared" si="13"/>
        <v/>
      </c>
      <c r="C888" s="29"/>
      <c r="D888" s="29"/>
      <c r="E888" s="29"/>
      <c r="F888" s="29"/>
      <c r="G888" s="29"/>
      <c r="H888" s="29"/>
      <c r="I888" s="29"/>
      <c r="J888" s="98" t="str" cm="1">
        <f t="array" ref="J888">IF(ISBLANK($C888),"",SUMPRODUCT(--(LEFT(D888:I888, 1) = "*"))*50)</f>
        <v/>
      </c>
    </row>
    <row r="889" spans="1:10" ht="27" customHeight="1">
      <c r="A889" s="29"/>
      <c r="B889" s="98" t="str">
        <f t="shared" si="13"/>
        <v/>
      </c>
      <c r="C889" s="29"/>
      <c r="D889" s="29"/>
      <c r="E889" s="29"/>
      <c r="F889" s="29"/>
      <c r="G889" s="29"/>
      <c r="H889" s="29"/>
      <c r="I889" s="29"/>
      <c r="J889" s="98" t="str" cm="1">
        <f t="array" ref="J889">IF(ISBLANK($C889),"",SUMPRODUCT(--(LEFT(D889:I889, 1) = "*"))*50)</f>
        <v/>
      </c>
    </row>
    <row r="890" spans="1:10" ht="27" customHeight="1">
      <c r="A890" s="29"/>
      <c r="B890" s="98" t="str">
        <f t="shared" si="13"/>
        <v/>
      </c>
      <c r="C890" s="29"/>
      <c r="D890" s="29"/>
      <c r="E890" s="29"/>
      <c r="F890" s="29"/>
      <c r="G890" s="29"/>
      <c r="H890" s="29"/>
      <c r="I890" s="29"/>
      <c r="J890" s="98" t="str" cm="1">
        <f t="array" ref="J890">IF(ISBLANK($C890),"",SUMPRODUCT(--(LEFT(D890:I890, 1) = "*"))*50)</f>
        <v/>
      </c>
    </row>
    <row r="891" spans="1:10" ht="27" customHeight="1">
      <c r="A891" s="29"/>
      <c r="B891" s="98" t="str">
        <f t="shared" si="13"/>
        <v/>
      </c>
      <c r="C891" s="29"/>
      <c r="D891" s="29"/>
      <c r="E891" s="29"/>
      <c r="F891" s="29"/>
      <c r="G891" s="29"/>
      <c r="H891" s="29"/>
      <c r="I891" s="29"/>
      <c r="J891" s="98" t="str" cm="1">
        <f t="array" ref="J891">IF(ISBLANK($C891),"",SUMPRODUCT(--(LEFT(D891:I891, 1) = "*"))*50)</f>
        <v/>
      </c>
    </row>
    <row r="892" spans="1:10" ht="27" customHeight="1">
      <c r="A892" s="29"/>
      <c r="B892" s="98" t="str">
        <f t="shared" si="13"/>
        <v/>
      </c>
      <c r="C892" s="29"/>
      <c r="D892" s="29"/>
      <c r="E892" s="29"/>
      <c r="F892" s="29"/>
      <c r="G892" s="29"/>
      <c r="H892" s="29"/>
      <c r="I892" s="29"/>
      <c r="J892" s="98" t="str" cm="1">
        <f t="array" ref="J892">IF(ISBLANK($C892),"",SUMPRODUCT(--(LEFT(D892:I892, 1) = "*"))*50)</f>
        <v/>
      </c>
    </row>
    <row r="893" spans="1:10" ht="27" customHeight="1">
      <c r="A893" s="29"/>
      <c r="B893" s="98" t="str">
        <f t="shared" si="13"/>
        <v/>
      </c>
      <c r="C893" s="29"/>
      <c r="D893" s="29"/>
      <c r="E893" s="29"/>
      <c r="F893" s="29"/>
      <c r="G893" s="29"/>
      <c r="H893" s="29"/>
      <c r="I893" s="29"/>
      <c r="J893" s="98" t="str" cm="1">
        <f t="array" ref="J893">IF(ISBLANK($C893),"",SUMPRODUCT(--(LEFT(D893:I893, 1) = "*"))*50)</f>
        <v/>
      </c>
    </row>
    <row r="894" spans="1:10" ht="27" customHeight="1">
      <c r="A894" s="29"/>
      <c r="B894" s="98" t="str">
        <f t="shared" si="13"/>
        <v/>
      </c>
      <c r="C894" s="29"/>
      <c r="D894" s="29"/>
      <c r="E894" s="29"/>
      <c r="F894" s="29"/>
      <c r="G894" s="29"/>
      <c r="H894" s="29"/>
      <c r="I894" s="29"/>
      <c r="J894" s="98" t="str" cm="1">
        <f t="array" ref="J894">IF(ISBLANK($C894),"",SUMPRODUCT(--(LEFT(D894:I894, 1) = "*"))*50)</f>
        <v/>
      </c>
    </row>
    <row r="895" spans="1:10" ht="27" customHeight="1">
      <c r="A895" s="29"/>
      <c r="B895" s="98" t="str">
        <f t="shared" si="13"/>
        <v/>
      </c>
      <c r="C895" s="29"/>
      <c r="D895" s="29"/>
      <c r="E895" s="29"/>
      <c r="F895" s="29"/>
      <c r="G895" s="29"/>
      <c r="H895" s="29"/>
      <c r="I895" s="29"/>
      <c r="J895" s="98" t="str" cm="1">
        <f t="array" ref="J895">IF(ISBLANK($C895),"",SUMPRODUCT(--(LEFT(D895:I895, 1) = "*"))*50)</f>
        <v/>
      </c>
    </row>
    <row r="896" spans="1:10" ht="27" customHeight="1">
      <c r="A896" s="29"/>
      <c r="B896" s="98" t="str">
        <f t="shared" si="13"/>
        <v/>
      </c>
      <c r="C896" s="29"/>
      <c r="D896" s="29"/>
      <c r="E896" s="29"/>
      <c r="F896" s="29"/>
      <c r="G896" s="29"/>
      <c r="H896" s="29"/>
      <c r="I896" s="29"/>
      <c r="J896" s="98" t="str" cm="1">
        <f t="array" ref="J896">IF(ISBLANK($C896),"",SUMPRODUCT(--(LEFT(D896:I896, 1) = "*"))*50)</f>
        <v/>
      </c>
    </row>
    <row r="897" spans="1:10" ht="27" customHeight="1">
      <c r="A897" s="29"/>
      <c r="B897" s="98" t="str">
        <f t="shared" si="13"/>
        <v/>
      </c>
      <c r="C897" s="29"/>
      <c r="D897" s="29"/>
      <c r="E897" s="29"/>
      <c r="F897" s="29"/>
      <c r="G897" s="29"/>
      <c r="H897" s="29"/>
      <c r="I897" s="29"/>
      <c r="J897" s="98" t="str" cm="1">
        <f t="array" ref="J897">IF(ISBLANK($C897),"",SUMPRODUCT(--(LEFT(D897:I897, 1) = "*"))*50)</f>
        <v/>
      </c>
    </row>
    <row r="898" spans="1:10" ht="27" customHeight="1">
      <c r="A898" s="29"/>
      <c r="B898" s="98" t="str">
        <f t="shared" si="13"/>
        <v/>
      </c>
      <c r="C898" s="29"/>
      <c r="D898" s="29"/>
      <c r="E898" s="29"/>
      <c r="F898" s="29"/>
      <c r="G898" s="29"/>
      <c r="H898" s="29"/>
      <c r="I898" s="29"/>
      <c r="J898" s="98" t="str" cm="1">
        <f t="array" ref="J898">IF(ISBLANK($C898),"",SUMPRODUCT(--(LEFT(D898:I898, 1) = "*"))*50)</f>
        <v/>
      </c>
    </row>
    <row r="899" spans="1:10" ht="27" customHeight="1">
      <c r="A899" s="29"/>
      <c r="B899" s="98" t="str">
        <f t="shared" ref="B899:B962" si="14">IF(ISBLANK($C899),"","MCQ")</f>
        <v/>
      </c>
      <c r="C899" s="29"/>
      <c r="D899" s="29"/>
      <c r="E899" s="29"/>
      <c r="F899" s="29"/>
      <c r="G899" s="29"/>
      <c r="H899" s="29"/>
      <c r="I899" s="29"/>
      <c r="J899" s="98" t="str" cm="1">
        <f t="array" ref="J899">IF(ISBLANK($C899),"",SUMPRODUCT(--(LEFT(D899:I899, 1) = "*"))*50)</f>
        <v/>
      </c>
    </row>
    <row r="900" spans="1:10" ht="27" customHeight="1">
      <c r="A900" s="29"/>
      <c r="B900" s="98" t="str">
        <f t="shared" si="14"/>
        <v/>
      </c>
      <c r="C900" s="29"/>
      <c r="D900" s="29"/>
      <c r="E900" s="29"/>
      <c r="F900" s="29"/>
      <c r="G900" s="29"/>
      <c r="H900" s="29"/>
      <c r="I900" s="29"/>
      <c r="J900" s="98" t="str" cm="1">
        <f t="array" ref="J900">IF(ISBLANK($C900),"",SUMPRODUCT(--(LEFT(D900:I900, 1) = "*"))*50)</f>
        <v/>
      </c>
    </row>
    <row r="901" spans="1:10" ht="27" customHeight="1">
      <c r="A901" s="29"/>
      <c r="B901" s="98" t="str">
        <f t="shared" si="14"/>
        <v/>
      </c>
      <c r="C901" s="29"/>
      <c r="D901" s="29"/>
      <c r="E901" s="29"/>
      <c r="F901" s="29"/>
      <c r="G901" s="29"/>
      <c r="H901" s="29"/>
      <c r="I901" s="29"/>
      <c r="J901" s="98" t="str" cm="1">
        <f t="array" ref="J901">IF(ISBLANK($C901),"",SUMPRODUCT(--(LEFT(D901:I901, 1) = "*"))*50)</f>
        <v/>
      </c>
    </row>
    <row r="902" spans="1:10" ht="27" customHeight="1">
      <c r="A902" s="29"/>
      <c r="B902" s="98" t="str">
        <f t="shared" si="14"/>
        <v/>
      </c>
      <c r="C902" s="29"/>
      <c r="D902" s="29"/>
      <c r="E902" s="29"/>
      <c r="F902" s="29"/>
      <c r="G902" s="29"/>
      <c r="H902" s="29"/>
      <c r="I902" s="29"/>
      <c r="J902" s="98" t="str" cm="1">
        <f t="array" ref="J902">IF(ISBLANK($C902),"",SUMPRODUCT(--(LEFT(D902:I902, 1) = "*"))*50)</f>
        <v/>
      </c>
    </row>
    <row r="903" spans="1:10" ht="27" customHeight="1">
      <c r="A903" s="29"/>
      <c r="B903" s="98" t="str">
        <f t="shared" si="14"/>
        <v/>
      </c>
      <c r="C903" s="29"/>
      <c r="D903" s="29"/>
      <c r="E903" s="29"/>
      <c r="F903" s="29"/>
      <c r="G903" s="29"/>
      <c r="H903" s="29"/>
      <c r="I903" s="29"/>
      <c r="J903" s="98" t="str" cm="1">
        <f t="array" ref="J903">IF(ISBLANK($C903),"",SUMPRODUCT(--(LEFT(D903:I903, 1) = "*"))*50)</f>
        <v/>
      </c>
    </row>
    <row r="904" spans="1:10" ht="27" customHeight="1">
      <c r="A904" s="29"/>
      <c r="B904" s="98" t="str">
        <f t="shared" si="14"/>
        <v/>
      </c>
      <c r="C904" s="29"/>
      <c r="D904" s="29"/>
      <c r="E904" s="29"/>
      <c r="F904" s="29"/>
      <c r="G904" s="29"/>
      <c r="H904" s="29"/>
      <c r="I904" s="29"/>
      <c r="J904" s="98" t="str" cm="1">
        <f t="array" ref="J904">IF(ISBLANK($C904),"",SUMPRODUCT(--(LEFT(D904:I904, 1) = "*"))*50)</f>
        <v/>
      </c>
    </row>
    <row r="905" spans="1:10" ht="27" customHeight="1">
      <c r="A905" s="29"/>
      <c r="B905" s="98" t="str">
        <f t="shared" si="14"/>
        <v/>
      </c>
      <c r="C905" s="29"/>
      <c r="D905" s="29"/>
      <c r="E905" s="29"/>
      <c r="F905" s="29"/>
      <c r="G905" s="29"/>
      <c r="H905" s="29"/>
      <c r="I905" s="29"/>
      <c r="J905" s="98" t="str" cm="1">
        <f t="array" ref="J905">IF(ISBLANK($C905),"",SUMPRODUCT(--(LEFT(D905:I905, 1) = "*"))*50)</f>
        <v/>
      </c>
    </row>
    <row r="906" spans="1:10" ht="27" customHeight="1">
      <c r="A906" s="29"/>
      <c r="B906" s="98" t="str">
        <f t="shared" si="14"/>
        <v/>
      </c>
      <c r="C906" s="29"/>
      <c r="D906" s="29"/>
      <c r="E906" s="29"/>
      <c r="F906" s="29"/>
      <c r="G906" s="29"/>
      <c r="H906" s="29"/>
      <c r="I906" s="29"/>
      <c r="J906" s="98" t="str" cm="1">
        <f t="array" ref="J906">IF(ISBLANK($C906),"",SUMPRODUCT(--(LEFT(D906:I906, 1) = "*"))*50)</f>
        <v/>
      </c>
    </row>
    <row r="907" spans="1:10" ht="27" customHeight="1">
      <c r="A907" s="29"/>
      <c r="B907" s="98" t="str">
        <f t="shared" si="14"/>
        <v/>
      </c>
      <c r="C907" s="29"/>
      <c r="D907" s="29"/>
      <c r="E907" s="29"/>
      <c r="F907" s="29"/>
      <c r="G907" s="29"/>
      <c r="H907" s="29"/>
      <c r="I907" s="29"/>
      <c r="J907" s="98" t="str" cm="1">
        <f t="array" ref="J907">IF(ISBLANK($C907),"",SUMPRODUCT(--(LEFT(D907:I907, 1) = "*"))*50)</f>
        <v/>
      </c>
    </row>
    <row r="908" spans="1:10" ht="27" customHeight="1">
      <c r="A908" s="29"/>
      <c r="B908" s="98" t="str">
        <f t="shared" si="14"/>
        <v/>
      </c>
      <c r="C908" s="29"/>
      <c r="D908" s="29"/>
      <c r="E908" s="29"/>
      <c r="F908" s="29"/>
      <c r="G908" s="29"/>
      <c r="H908" s="29"/>
      <c r="I908" s="29"/>
      <c r="J908" s="98" t="str" cm="1">
        <f t="array" ref="J908">IF(ISBLANK($C908),"",SUMPRODUCT(--(LEFT(D908:I908, 1) = "*"))*50)</f>
        <v/>
      </c>
    </row>
    <row r="909" spans="1:10" ht="27" customHeight="1">
      <c r="A909" s="29"/>
      <c r="B909" s="98" t="str">
        <f t="shared" si="14"/>
        <v/>
      </c>
      <c r="C909" s="29"/>
      <c r="D909" s="29"/>
      <c r="E909" s="29"/>
      <c r="F909" s="29"/>
      <c r="G909" s="29"/>
      <c r="H909" s="29"/>
      <c r="I909" s="29"/>
      <c r="J909" s="98" t="str" cm="1">
        <f t="array" ref="J909">IF(ISBLANK($C909),"",SUMPRODUCT(--(LEFT(D909:I909, 1) = "*"))*50)</f>
        <v/>
      </c>
    </row>
    <row r="910" spans="1:10" ht="27" customHeight="1">
      <c r="A910" s="29"/>
      <c r="B910" s="98" t="str">
        <f t="shared" si="14"/>
        <v/>
      </c>
      <c r="C910" s="29"/>
      <c r="D910" s="29"/>
      <c r="E910" s="29"/>
      <c r="F910" s="29"/>
      <c r="G910" s="29"/>
      <c r="H910" s="29"/>
      <c r="I910" s="29"/>
      <c r="J910" s="98" t="str" cm="1">
        <f t="array" ref="J910">IF(ISBLANK($C910),"",SUMPRODUCT(--(LEFT(D910:I910, 1) = "*"))*50)</f>
        <v/>
      </c>
    </row>
    <row r="911" spans="1:10" ht="27" customHeight="1">
      <c r="A911" s="29"/>
      <c r="B911" s="98" t="str">
        <f t="shared" si="14"/>
        <v/>
      </c>
      <c r="C911" s="29"/>
      <c r="D911" s="29"/>
      <c r="E911" s="29"/>
      <c r="F911" s="29"/>
      <c r="G911" s="29"/>
      <c r="H911" s="29"/>
      <c r="I911" s="29"/>
      <c r="J911" s="98" t="str" cm="1">
        <f t="array" ref="J911">IF(ISBLANK($C911),"",SUMPRODUCT(--(LEFT(D911:I911, 1) = "*"))*50)</f>
        <v/>
      </c>
    </row>
    <row r="912" spans="1:10" ht="27" customHeight="1">
      <c r="A912" s="29"/>
      <c r="B912" s="98" t="str">
        <f t="shared" si="14"/>
        <v/>
      </c>
      <c r="C912" s="29"/>
      <c r="D912" s="29"/>
      <c r="E912" s="29"/>
      <c r="F912" s="29"/>
      <c r="G912" s="29"/>
      <c r="H912" s="29"/>
      <c r="I912" s="29"/>
      <c r="J912" s="98" t="str" cm="1">
        <f t="array" ref="J912">IF(ISBLANK($C912),"",SUMPRODUCT(--(LEFT(D912:I912, 1) = "*"))*50)</f>
        <v/>
      </c>
    </row>
    <row r="913" spans="1:10" ht="27" customHeight="1">
      <c r="A913" s="29"/>
      <c r="B913" s="98" t="str">
        <f t="shared" si="14"/>
        <v/>
      </c>
      <c r="C913" s="29"/>
      <c r="D913" s="29"/>
      <c r="E913" s="29"/>
      <c r="F913" s="29"/>
      <c r="G913" s="29"/>
      <c r="H913" s="29"/>
      <c r="I913" s="29"/>
      <c r="J913" s="98" t="str" cm="1">
        <f t="array" ref="J913">IF(ISBLANK($C913),"",SUMPRODUCT(--(LEFT(D913:I913, 1) = "*"))*50)</f>
        <v/>
      </c>
    </row>
    <row r="914" spans="1:10" ht="27" customHeight="1">
      <c r="A914" s="29"/>
      <c r="B914" s="98" t="str">
        <f t="shared" si="14"/>
        <v/>
      </c>
      <c r="C914" s="29"/>
      <c r="D914" s="29"/>
      <c r="E914" s="29"/>
      <c r="F914" s="29"/>
      <c r="G914" s="29"/>
      <c r="H914" s="29"/>
      <c r="I914" s="29"/>
      <c r="J914" s="98" t="str" cm="1">
        <f t="array" ref="J914">IF(ISBLANK($C914),"",SUMPRODUCT(--(LEFT(D914:I914, 1) = "*"))*50)</f>
        <v/>
      </c>
    </row>
    <row r="915" spans="1:10" ht="27" customHeight="1">
      <c r="A915" s="29"/>
      <c r="B915" s="98" t="str">
        <f t="shared" si="14"/>
        <v/>
      </c>
      <c r="C915" s="29"/>
      <c r="D915" s="29"/>
      <c r="E915" s="29"/>
      <c r="F915" s="29"/>
      <c r="G915" s="29"/>
      <c r="H915" s="29"/>
      <c r="I915" s="29"/>
      <c r="J915" s="98" t="str" cm="1">
        <f t="array" ref="J915">IF(ISBLANK($C915),"",SUMPRODUCT(--(LEFT(D915:I915, 1) = "*"))*50)</f>
        <v/>
      </c>
    </row>
    <row r="916" spans="1:10" ht="27" customHeight="1">
      <c r="A916" s="29"/>
      <c r="B916" s="98" t="str">
        <f t="shared" si="14"/>
        <v/>
      </c>
      <c r="C916" s="29"/>
      <c r="D916" s="29"/>
      <c r="E916" s="29"/>
      <c r="F916" s="29"/>
      <c r="G916" s="29"/>
      <c r="H916" s="29"/>
      <c r="I916" s="29"/>
      <c r="J916" s="98" t="str" cm="1">
        <f t="array" ref="J916">IF(ISBLANK($C916),"",SUMPRODUCT(--(LEFT(D916:I916, 1) = "*"))*50)</f>
        <v/>
      </c>
    </row>
    <row r="917" spans="1:10" ht="27" customHeight="1">
      <c r="A917" s="29"/>
      <c r="B917" s="98" t="str">
        <f t="shared" si="14"/>
        <v/>
      </c>
      <c r="C917" s="29"/>
      <c r="D917" s="29"/>
      <c r="E917" s="29"/>
      <c r="F917" s="29"/>
      <c r="G917" s="29"/>
      <c r="H917" s="29"/>
      <c r="I917" s="29"/>
      <c r="J917" s="98" t="str" cm="1">
        <f t="array" ref="J917">IF(ISBLANK($C917),"",SUMPRODUCT(--(LEFT(D917:I917, 1) = "*"))*50)</f>
        <v/>
      </c>
    </row>
    <row r="918" spans="1:10" ht="27" customHeight="1">
      <c r="A918" s="29"/>
      <c r="B918" s="98" t="str">
        <f t="shared" si="14"/>
        <v/>
      </c>
      <c r="C918" s="29"/>
      <c r="D918" s="29"/>
      <c r="E918" s="29"/>
      <c r="F918" s="29"/>
      <c r="G918" s="29"/>
      <c r="H918" s="29"/>
      <c r="I918" s="29"/>
      <c r="J918" s="98" t="str" cm="1">
        <f t="array" ref="J918">IF(ISBLANK($C918),"",SUMPRODUCT(--(LEFT(D918:I918, 1) = "*"))*50)</f>
        <v/>
      </c>
    </row>
    <row r="919" spans="1:10" ht="27" customHeight="1">
      <c r="A919" s="29"/>
      <c r="B919" s="98" t="str">
        <f t="shared" si="14"/>
        <v/>
      </c>
      <c r="C919" s="29"/>
      <c r="D919" s="29"/>
      <c r="E919" s="29"/>
      <c r="F919" s="29"/>
      <c r="G919" s="29"/>
      <c r="H919" s="29"/>
      <c r="I919" s="29"/>
      <c r="J919" s="98" t="str" cm="1">
        <f t="array" ref="J919">IF(ISBLANK($C919),"",SUMPRODUCT(--(LEFT(D919:I919, 1) = "*"))*50)</f>
        <v/>
      </c>
    </row>
    <row r="920" spans="1:10" ht="27" customHeight="1">
      <c r="A920" s="29"/>
      <c r="B920" s="98" t="str">
        <f t="shared" si="14"/>
        <v/>
      </c>
      <c r="C920" s="29"/>
      <c r="D920" s="29"/>
      <c r="E920" s="29"/>
      <c r="F920" s="29"/>
      <c r="G920" s="29"/>
      <c r="H920" s="29"/>
      <c r="I920" s="29"/>
      <c r="J920" s="98" t="str" cm="1">
        <f t="array" ref="J920">IF(ISBLANK($C920),"",SUMPRODUCT(--(LEFT(D920:I920, 1) = "*"))*50)</f>
        <v/>
      </c>
    </row>
    <row r="921" spans="1:10" ht="27" customHeight="1">
      <c r="A921" s="29"/>
      <c r="B921" s="98" t="str">
        <f t="shared" si="14"/>
        <v/>
      </c>
      <c r="C921" s="29"/>
      <c r="D921" s="29"/>
      <c r="E921" s="29"/>
      <c r="F921" s="29"/>
      <c r="G921" s="29"/>
      <c r="H921" s="29"/>
      <c r="I921" s="29"/>
      <c r="J921" s="98" t="str" cm="1">
        <f t="array" ref="J921">IF(ISBLANK($C921),"",SUMPRODUCT(--(LEFT(D921:I921, 1) = "*"))*50)</f>
        <v/>
      </c>
    </row>
    <row r="922" spans="1:10" ht="27" customHeight="1">
      <c r="A922" s="29"/>
      <c r="B922" s="98" t="str">
        <f t="shared" si="14"/>
        <v/>
      </c>
      <c r="C922" s="29"/>
      <c r="D922" s="29"/>
      <c r="E922" s="29"/>
      <c r="F922" s="29"/>
      <c r="G922" s="29"/>
      <c r="H922" s="29"/>
      <c r="I922" s="29"/>
      <c r="J922" s="98" t="str" cm="1">
        <f t="array" ref="J922">IF(ISBLANK($C922),"",SUMPRODUCT(--(LEFT(D922:I922, 1) = "*"))*50)</f>
        <v/>
      </c>
    </row>
    <row r="923" spans="1:10" ht="27" customHeight="1">
      <c r="A923" s="29"/>
      <c r="B923" s="98" t="str">
        <f t="shared" si="14"/>
        <v/>
      </c>
      <c r="C923" s="29"/>
      <c r="D923" s="29"/>
      <c r="E923" s="29"/>
      <c r="F923" s="29"/>
      <c r="G923" s="29"/>
      <c r="H923" s="29"/>
      <c r="I923" s="29"/>
      <c r="J923" s="98" t="str" cm="1">
        <f t="array" ref="J923">IF(ISBLANK($C923),"",SUMPRODUCT(--(LEFT(D923:I923, 1) = "*"))*50)</f>
        <v/>
      </c>
    </row>
    <row r="924" spans="1:10" ht="27" customHeight="1">
      <c r="A924" s="29"/>
      <c r="B924" s="98" t="str">
        <f t="shared" si="14"/>
        <v/>
      </c>
      <c r="C924" s="29"/>
      <c r="D924" s="29"/>
      <c r="E924" s="29"/>
      <c r="F924" s="29"/>
      <c r="G924" s="29"/>
      <c r="H924" s="29"/>
      <c r="I924" s="29"/>
      <c r="J924" s="98" t="str" cm="1">
        <f t="array" ref="J924">IF(ISBLANK($C924),"",SUMPRODUCT(--(LEFT(D924:I924, 1) = "*"))*50)</f>
        <v/>
      </c>
    </row>
    <row r="925" spans="1:10" ht="27" customHeight="1">
      <c r="A925" s="29"/>
      <c r="B925" s="98" t="str">
        <f t="shared" si="14"/>
        <v/>
      </c>
      <c r="C925" s="29"/>
      <c r="D925" s="29"/>
      <c r="E925" s="29"/>
      <c r="F925" s="29"/>
      <c r="G925" s="29"/>
      <c r="H925" s="29"/>
      <c r="I925" s="29"/>
      <c r="J925" s="98" t="str" cm="1">
        <f t="array" ref="J925">IF(ISBLANK($C925),"",SUMPRODUCT(--(LEFT(D925:I925, 1) = "*"))*50)</f>
        <v/>
      </c>
    </row>
    <row r="926" spans="1:10" ht="27" customHeight="1">
      <c r="A926" s="29"/>
      <c r="B926" s="98" t="str">
        <f t="shared" si="14"/>
        <v/>
      </c>
      <c r="C926" s="29"/>
      <c r="D926" s="29"/>
      <c r="E926" s="29"/>
      <c r="F926" s="29"/>
      <c r="G926" s="29"/>
      <c r="H926" s="29"/>
      <c r="I926" s="29"/>
      <c r="J926" s="98" t="str" cm="1">
        <f t="array" ref="J926">IF(ISBLANK($C926),"",SUMPRODUCT(--(LEFT(D926:I926, 1) = "*"))*50)</f>
        <v/>
      </c>
    </row>
    <row r="927" spans="1:10" ht="27" customHeight="1">
      <c r="A927" s="29"/>
      <c r="B927" s="98" t="str">
        <f t="shared" si="14"/>
        <v/>
      </c>
      <c r="C927" s="29"/>
      <c r="D927" s="29"/>
      <c r="E927" s="29"/>
      <c r="F927" s="29"/>
      <c r="G927" s="29"/>
      <c r="H927" s="29"/>
      <c r="I927" s="29"/>
      <c r="J927" s="98" t="str" cm="1">
        <f t="array" ref="J927">IF(ISBLANK($C927),"",SUMPRODUCT(--(LEFT(D927:I927, 1) = "*"))*50)</f>
        <v/>
      </c>
    </row>
    <row r="928" spans="1:10" ht="27" customHeight="1">
      <c r="A928" s="29"/>
      <c r="B928" s="98" t="str">
        <f t="shared" si="14"/>
        <v/>
      </c>
      <c r="C928" s="29"/>
      <c r="D928" s="29"/>
      <c r="E928" s="29"/>
      <c r="F928" s="29"/>
      <c r="G928" s="29"/>
      <c r="H928" s="29"/>
      <c r="I928" s="29"/>
      <c r="J928" s="98" t="str" cm="1">
        <f t="array" ref="J928">IF(ISBLANK($C928),"",SUMPRODUCT(--(LEFT(D928:I928, 1) = "*"))*50)</f>
        <v/>
      </c>
    </row>
    <row r="929" spans="1:10" ht="27" customHeight="1">
      <c r="A929" s="29"/>
      <c r="B929" s="98" t="str">
        <f t="shared" si="14"/>
        <v/>
      </c>
      <c r="C929" s="29"/>
      <c r="D929" s="29"/>
      <c r="E929" s="29"/>
      <c r="F929" s="29"/>
      <c r="G929" s="29"/>
      <c r="H929" s="29"/>
      <c r="I929" s="29"/>
      <c r="J929" s="98" t="str" cm="1">
        <f t="array" ref="J929">IF(ISBLANK($C929),"",SUMPRODUCT(--(LEFT(D929:I929, 1) = "*"))*50)</f>
        <v/>
      </c>
    </row>
    <row r="930" spans="1:10" ht="27" customHeight="1">
      <c r="A930" s="29"/>
      <c r="B930" s="98" t="str">
        <f t="shared" si="14"/>
        <v/>
      </c>
      <c r="C930" s="29"/>
      <c r="D930" s="29"/>
      <c r="E930" s="29"/>
      <c r="F930" s="29"/>
      <c r="G930" s="29"/>
      <c r="H930" s="29"/>
      <c r="I930" s="29"/>
      <c r="J930" s="98" t="str" cm="1">
        <f t="array" ref="J930">IF(ISBLANK($C930),"",SUMPRODUCT(--(LEFT(D930:I930, 1) = "*"))*50)</f>
        <v/>
      </c>
    </row>
    <row r="931" spans="1:10" ht="27" customHeight="1">
      <c r="A931" s="29"/>
      <c r="B931" s="98" t="str">
        <f t="shared" si="14"/>
        <v/>
      </c>
      <c r="C931" s="29"/>
      <c r="D931" s="29"/>
      <c r="E931" s="29"/>
      <c r="F931" s="29"/>
      <c r="G931" s="29"/>
      <c r="H931" s="29"/>
      <c r="I931" s="29"/>
      <c r="J931" s="98" t="str" cm="1">
        <f t="array" ref="J931">IF(ISBLANK($C931),"",SUMPRODUCT(--(LEFT(D931:I931, 1) = "*"))*50)</f>
        <v/>
      </c>
    </row>
    <row r="932" spans="1:10" ht="27" customHeight="1">
      <c r="A932" s="29"/>
      <c r="B932" s="98" t="str">
        <f t="shared" si="14"/>
        <v/>
      </c>
      <c r="C932" s="29"/>
      <c r="D932" s="29"/>
      <c r="E932" s="29"/>
      <c r="F932" s="29"/>
      <c r="G932" s="29"/>
      <c r="H932" s="29"/>
      <c r="I932" s="29"/>
      <c r="J932" s="98" t="str" cm="1">
        <f t="array" ref="J932">IF(ISBLANK($C932),"",SUMPRODUCT(--(LEFT(D932:I932, 1) = "*"))*50)</f>
        <v/>
      </c>
    </row>
    <row r="933" spans="1:10" ht="27" customHeight="1">
      <c r="A933" s="29"/>
      <c r="B933" s="98" t="str">
        <f t="shared" si="14"/>
        <v/>
      </c>
      <c r="C933" s="29"/>
      <c r="D933" s="29"/>
      <c r="E933" s="29"/>
      <c r="F933" s="29"/>
      <c r="G933" s="29"/>
      <c r="H933" s="29"/>
      <c r="I933" s="29"/>
      <c r="J933" s="98" t="str" cm="1">
        <f t="array" ref="J933">IF(ISBLANK($C933),"",SUMPRODUCT(--(LEFT(D933:I933, 1) = "*"))*50)</f>
        <v/>
      </c>
    </row>
    <row r="934" spans="1:10" ht="27" customHeight="1">
      <c r="A934" s="29"/>
      <c r="B934" s="98" t="str">
        <f t="shared" si="14"/>
        <v/>
      </c>
      <c r="C934" s="29"/>
      <c r="D934" s="29"/>
      <c r="E934" s="29"/>
      <c r="F934" s="29"/>
      <c r="G934" s="29"/>
      <c r="H934" s="29"/>
      <c r="I934" s="29"/>
      <c r="J934" s="98" t="str" cm="1">
        <f t="array" ref="J934">IF(ISBLANK($C934),"",SUMPRODUCT(--(LEFT(D934:I934, 1) = "*"))*50)</f>
        <v/>
      </c>
    </row>
    <row r="935" spans="1:10" ht="27" customHeight="1">
      <c r="A935" s="29"/>
      <c r="B935" s="98" t="str">
        <f t="shared" si="14"/>
        <v/>
      </c>
      <c r="C935" s="29"/>
      <c r="D935" s="29"/>
      <c r="E935" s="29"/>
      <c r="F935" s="29"/>
      <c r="G935" s="29"/>
      <c r="H935" s="29"/>
      <c r="I935" s="29"/>
      <c r="J935" s="98" t="str" cm="1">
        <f t="array" ref="J935">IF(ISBLANK($C935),"",SUMPRODUCT(--(LEFT(D935:I935, 1) = "*"))*50)</f>
        <v/>
      </c>
    </row>
    <row r="936" spans="1:10" ht="27" customHeight="1">
      <c r="A936" s="29"/>
      <c r="B936" s="98" t="str">
        <f t="shared" si="14"/>
        <v/>
      </c>
      <c r="C936" s="29"/>
      <c r="D936" s="29"/>
      <c r="E936" s="29"/>
      <c r="F936" s="29"/>
      <c r="G936" s="29"/>
      <c r="H936" s="29"/>
      <c r="I936" s="29"/>
      <c r="J936" s="98" t="str" cm="1">
        <f t="array" ref="J936">IF(ISBLANK($C936),"",SUMPRODUCT(--(LEFT(D936:I936, 1) = "*"))*50)</f>
        <v/>
      </c>
    </row>
    <row r="937" spans="1:10" ht="27" customHeight="1">
      <c r="A937" s="29"/>
      <c r="B937" s="98" t="str">
        <f t="shared" si="14"/>
        <v/>
      </c>
      <c r="C937" s="29"/>
      <c r="D937" s="29"/>
      <c r="E937" s="29"/>
      <c r="F937" s="29"/>
      <c r="G937" s="29"/>
      <c r="H937" s="29"/>
      <c r="I937" s="29"/>
      <c r="J937" s="98" t="str" cm="1">
        <f t="array" ref="J937">IF(ISBLANK($C937),"",SUMPRODUCT(--(LEFT(D937:I937, 1) = "*"))*50)</f>
        <v/>
      </c>
    </row>
    <row r="938" spans="1:10" ht="27" customHeight="1">
      <c r="A938" s="29"/>
      <c r="B938" s="98" t="str">
        <f t="shared" si="14"/>
        <v/>
      </c>
      <c r="C938" s="29"/>
      <c r="D938" s="29"/>
      <c r="E938" s="29"/>
      <c r="F938" s="29"/>
      <c r="G938" s="29"/>
      <c r="H938" s="29"/>
      <c r="I938" s="29"/>
      <c r="J938" s="98" t="str" cm="1">
        <f t="array" ref="J938">IF(ISBLANK($C938),"",SUMPRODUCT(--(LEFT(D938:I938, 1) = "*"))*50)</f>
        <v/>
      </c>
    </row>
    <row r="939" spans="1:10" ht="27" customHeight="1">
      <c r="A939" s="29"/>
      <c r="B939" s="98" t="str">
        <f t="shared" si="14"/>
        <v/>
      </c>
      <c r="C939" s="29"/>
      <c r="D939" s="29"/>
      <c r="E939" s="29"/>
      <c r="F939" s="29"/>
      <c r="G939" s="29"/>
      <c r="H939" s="29"/>
      <c r="I939" s="29"/>
      <c r="J939" s="98" t="str" cm="1">
        <f t="array" ref="J939">IF(ISBLANK($C939),"",SUMPRODUCT(--(LEFT(D939:I939, 1) = "*"))*50)</f>
        <v/>
      </c>
    </row>
    <row r="940" spans="1:10" ht="27" customHeight="1">
      <c r="A940" s="29"/>
      <c r="B940" s="98" t="str">
        <f t="shared" si="14"/>
        <v/>
      </c>
      <c r="C940" s="29"/>
      <c r="D940" s="29"/>
      <c r="E940" s="29"/>
      <c r="F940" s="29"/>
      <c r="G940" s="29"/>
      <c r="H940" s="29"/>
      <c r="I940" s="29"/>
      <c r="J940" s="98" t="str" cm="1">
        <f t="array" ref="J940">IF(ISBLANK($C940),"",SUMPRODUCT(--(LEFT(D940:I940, 1) = "*"))*50)</f>
        <v/>
      </c>
    </row>
    <row r="941" spans="1:10" ht="27" customHeight="1">
      <c r="A941" s="29"/>
      <c r="B941" s="98" t="str">
        <f t="shared" si="14"/>
        <v/>
      </c>
      <c r="C941" s="29"/>
      <c r="D941" s="29"/>
      <c r="E941" s="29"/>
      <c r="F941" s="29"/>
      <c r="G941" s="29"/>
      <c r="H941" s="29"/>
      <c r="I941" s="29"/>
      <c r="J941" s="98" t="str" cm="1">
        <f t="array" ref="J941">IF(ISBLANK($C941),"",SUMPRODUCT(--(LEFT(D941:I941, 1) = "*"))*50)</f>
        <v/>
      </c>
    </row>
    <row r="942" spans="1:10" ht="27" customHeight="1">
      <c r="A942" s="29"/>
      <c r="B942" s="98" t="str">
        <f t="shared" si="14"/>
        <v/>
      </c>
      <c r="C942" s="29"/>
      <c r="D942" s="29"/>
      <c r="E942" s="29"/>
      <c r="F942" s="29"/>
      <c r="G942" s="29"/>
      <c r="H942" s="29"/>
      <c r="I942" s="29"/>
      <c r="J942" s="98" t="str" cm="1">
        <f t="array" ref="J942">IF(ISBLANK($C942),"",SUMPRODUCT(--(LEFT(D942:I942, 1) = "*"))*50)</f>
        <v/>
      </c>
    </row>
    <row r="943" spans="1:10" ht="27" customHeight="1">
      <c r="A943" s="29"/>
      <c r="B943" s="98" t="str">
        <f t="shared" si="14"/>
        <v/>
      </c>
      <c r="C943" s="29"/>
      <c r="D943" s="29"/>
      <c r="E943" s="29"/>
      <c r="F943" s="29"/>
      <c r="G943" s="29"/>
      <c r="H943" s="29"/>
      <c r="I943" s="29"/>
      <c r="J943" s="98" t="str" cm="1">
        <f t="array" ref="J943">IF(ISBLANK($C943),"",SUMPRODUCT(--(LEFT(D943:I943, 1) = "*"))*50)</f>
        <v/>
      </c>
    </row>
    <row r="944" spans="1:10" ht="27" customHeight="1">
      <c r="A944" s="29"/>
      <c r="B944" s="98" t="str">
        <f t="shared" si="14"/>
        <v/>
      </c>
      <c r="C944" s="29"/>
      <c r="D944" s="29"/>
      <c r="E944" s="29"/>
      <c r="F944" s="29"/>
      <c r="G944" s="29"/>
      <c r="H944" s="29"/>
      <c r="I944" s="29"/>
      <c r="J944" s="98" t="str" cm="1">
        <f t="array" ref="J944">IF(ISBLANK($C944),"",SUMPRODUCT(--(LEFT(D944:I944, 1) = "*"))*50)</f>
        <v/>
      </c>
    </row>
    <row r="945" spans="1:10" ht="27" customHeight="1">
      <c r="A945" s="29"/>
      <c r="B945" s="98" t="str">
        <f t="shared" si="14"/>
        <v/>
      </c>
      <c r="C945" s="29"/>
      <c r="D945" s="29"/>
      <c r="E945" s="29"/>
      <c r="F945" s="29"/>
      <c r="G945" s="29"/>
      <c r="H945" s="29"/>
      <c r="I945" s="29"/>
      <c r="J945" s="98" t="str" cm="1">
        <f t="array" ref="J945">IF(ISBLANK($C945),"",SUMPRODUCT(--(LEFT(D945:I945, 1) = "*"))*50)</f>
        <v/>
      </c>
    </row>
    <row r="946" spans="1:10" ht="27" customHeight="1">
      <c r="A946" s="29"/>
      <c r="B946" s="98" t="str">
        <f t="shared" si="14"/>
        <v/>
      </c>
      <c r="C946" s="29"/>
      <c r="D946" s="29"/>
      <c r="E946" s="29"/>
      <c r="F946" s="29"/>
      <c r="G946" s="29"/>
      <c r="H946" s="29"/>
      <c r="I946" s="29"/>
      <c r="J946" s="98" t="str" cm="1">
        <f t="array" ref="J946">IF(ISBLANK($C946),"",SUMPRODUCT(--(LEFT(D946:I946, 1) = "*"))*50)</f>
        <v/>
      </c>
    </row>
    <row r="947" spans="1:10" ht="27" customHeight="1">
      <c r="A947" s="29"/>
      <c r="B947" s="98" t="str">
        <f t="shared" si="14"/>
        <v/>
      </c>
      <c r="C947" s="29"/>
      <c r="D947" s="29"/>
      <c r="E947" s="29"/>
      <c r="F947" s="29"/>
      <c r="G947" s="29"/>
      <c r="H947" s="29"/>
      <c r="I947" s="29"/>
      <c r="J947" s="98" t="str" cm="1">
        <f t="array" ref="J947">IF(ISBLANK($C947),"",SUMPRODUCT(--(LEFT(D947:I947, 1) = "*"))*50)</f>
        <v/>
      </c>
    </row>
    <row r="948" spans="1:10" ht="27" customHeight="1">
      <c r="A948" s="29"/>
      <c r="B948" s="98" t="str">
        <f t="shared" si="14"/>
        <v/>
      </c>
      <c r="C948" s="29"/>
      <c r="D948" s="29"/>
      <c r="E948" s="29"/>
      <c r="F948" s="29"/>
      <c r="G948" s="29"/>
      <c r="H948" s="29"/>
      <c r="I948" s="29"/>
      <c r="J948" s="98" t="str" cm="1">
        <f t="array" ref="J948">IF(ISBLANK($C948),"",SUMPRODUCT(--(LEFT(D948:I948, 1) = "*"))*50)</f>
        <v/>
      </c>
    </row>
    <row r="949" spans="1:10" ht="27" customHeight="1">
      <c r="A949" s="29"/>
      <c r="B949" s="98" t="str">
        <f t="shared" si="14"/>
        <v/>
      </c>
      <c r="C949" s="29"/>
      <c r="D949" s="29"/>
      <c r="E949" s="29"/>
      <c r="F949" s="29"/>
      <c r="G949" s="29"/>
      <c r="H949" s="29"/>
      <c r="I949" s="29"/>
      <c r="J949" s="98" t="str" cm="1">
        <f t="array" ref="J949">IF(ISBLANK($C949),"",SUMPRODUCT(--(LEFT(D949:I949, 1) = "*"))*50)</f>
        <v/>
      </c>
    </row>
    <row r="950" spans="1:10" ht="27" customHeight="1">
      <c r="A950" s="29"/>
      <c r="B950" s="98" t="str">
        <f t="shared" si="14"/>
        <v/>
      </c>
      <c r="C950" s="29"/>
      <c r="D950" s="29"/>
      <c r="E950" s="29"/>
      <c r="F950" s="29"/>
      <c r="G950" s="29"/>
      <c r="H950" s="29"/>
      <c r="I950" s="29"/>
      <c r="J950" s="98" t="str" cm="1">
        <f t="array" ref="J950">IF(ISBLANK($C950),"",SUMPRODUCT(--(LEFT(D950:I950, 1) = "*"))*50)</f>
        <v/>
      </c>
    </row>
    <row r="951" spans="1:10" ht="27" customHeight="1">
      <c r="A951" s="29"/>
      <c r="B951" s="98" t="str">
        <f t="shared" si="14"/>
        <v/>
      </c>
      <c r="C951" s="29"/>
      <c r="D951" s="29"/>
      <c r="E951" s="29"/>
      <c r="F951" s="29"/>
      <c r="G951" s="29"/>
      <c r="H951" s="29"/>
      <c r="I951" s="29"/>
      <c r="J951" s="98" t="str" cm="1">
        <f t="array" ref="J951">IF(ISBLANK($C951),"",SUMPRODUCT(--(LEFT(D951:I951, 1) = "*"))*50)</f>
        <v/>
      </c>
    </row>
    <row r="952" spans="1:10" ht="27" customHeight="1">
      <c r="A952" s="29"/>
      <c r="B952" s="98" t="str">
        <f t="shared" si="14"/>
        <v/>
      </c>
      <c r="C952" s="29"/>
      <c r="D952" s="29"/>
      <c r="E952" s="29"/>
      <c r="F952" s="29"/>
      <c r="G952" s="29"/>
      <c r="H952" s="29"/>
      <c r="I952" s="29"/>
      <c r="J952" s="98" t="str" cm="1">
        <f t="array" ref="J952">IF(ISBLANK($C952),"",SUMPRODUCT(--(LEFT(D952:I952, 1) = "*"))*50)</f>
        <v/>
      </c>
    </row>
    <row r="953" spans="1:10" ht="27" customHeight="1">
      <c r="A953" s="29"/>
      <c r="B953" s="98" t="str">
        <f t="shared" si="14"/>
        <v/>
      </c>
      <c r="C953" s="29"/>
      <c r="D953" s="29"/>
      <c r="E953" s="29"/>
      <c r="F953" s="29"/>
      <c r="G953" s="29"/>
      <c r="H953" s="29"/>
      <c r="I953" s="29"/>
      <c r="J953" s="98" t="str" cm="1">
        <f t="array" ref="J953">IF(ISBLANK($C953),"",SUMPRODUCT(--(LEFT(D953:I953, 1) = "*"))*50)</f>
        <v/>
      </c>
    </row>
    <row r="954" spans="1:10" ht="27" customHeight="1">
      <c r="A954" s="29"/>
      <c r="B954" s="98" t="str">
        <f t="shared" si="14"/>
        <v/>
      </c>
      <c r="C954" s="29"/>
      <c r="D954" s="29"/>
      <c r="E954" s="29"/>
      <c r="F954" s="29"/>
      <c r="G954" s="29"/>
      <c r="H954" s="29"/>
      <c r="I954" s="29"/>
      <c r="J954" s="98" t="str" cm="1">
        <f t="array" ref="J954">IF(ISBLANK($C954),"",SUMPRODUCT(--(LEFT(D954:I954, 1) = "*"))*50)</f>
        <v/>
      </c>
    </row>
    <row r="955" spans="1:10" ht="27" customHeight="1">
      <c r="A955" s="29"/>
      <c r="B955" s="98" t="str">
        <f t="shared" si="14"/>
        <v/>
      </c>
      <c r="C955" s="29"/>
      <c r="D955" s="29"/>
      <c r="E955" s="29"/>
      <c r="F955" s="29"/>
      <c r="G955" s="29"/>
      <c r="H955" s="29"/>
      <c r="I955" s="29"/>
      <c r="J955" s="98" t="str" cm="1">
        <f t="array" ref="J955">IF(ISBLANK($C955),"",SUMPRODUCT(--(LEFT(D955:I955, 1) = "*"))*50)</f>
        <v/>
      </c>
    </row>
    <row r="956" spans="1:10" ht="27" customHeight="1">
      <c r="A956" s="29"/>
      <c r="B956" s="98" t="str">
        <f t="shared" si="14"/>
        <v/>
      </c>
      <c r="C956" s="29"/>
      <c r="D956" s="29"/>
      <c r="E956" s="29"/>
      <c r="F956" s="29"/>
      <c r="G956" s="29"/>
      <c r="H956" s="29"/>
      <c r="I956" s="29"/>
      <c r="J956" s="98" t="str" cm="1">
        <f t="array" ref="J956">IF(ISBLANK($C956),"",SUMPRODUCT(--(LEFT(D956:I956, 1) = "*"))*50)</f>
        <v/>
      </c>
    </row>
    <row r="957" spans="1:10" ht="27" customHeight="1">
      <c r="A957" s="29"/>
      <c r="B957" s="98" t="str">
        <f t="shared" si="14"/>
        <v/>
      </c>
      <c r="C957" s="29"/>
      <c r="D957" s="29"/>
      <c r="E957" s="29"/>
      <c r="F957" s="29"/>
      <c r="G957" s="29"/>
      <c r="H957" s="29"/>
      <c r="I957" s="29"/>
      <c r="J957" s="98" t="str" cm="1">
        <f t="array" ref="J957">IF(ISBLANK($C957),"",SUMPRODUCT(--(LEFT(D957:I957, 1) = "*"))*50)</f>
        <v/>
      </c>
    </row>
    <row r="958" spans="1:10" ht="27" customHeight="1">
      <c r="A958" s="29"/>
      <c r="B958" s="98" t="str">
        <f t="shared" si="14"/>
        <v/>
      </c>
      <c r="C958" s="29"/>
      <c r="D958" s="29"/>
      <c r="E958" s="29"/>
      <c r="F958" s="29"/>
      <c r="G958" s="29"/>
      <c r="H958" s="29"/>
      <c r="I958" s="29"/>
      <c r="J958" s="98" t="str" cm="1">
        <f t="array" ref="J958">IF(ISBLANK($C958),"",SUMPRODUCT(--(LEFT(D958:I958, 1) = "*"))*50)</f>
        <v/>
      </c>
    </row>
    <row r="959" spans="1:10" ht="27" customHeight="1">
      <c r="A959" s="29"/>
      <c r="B959" s="98" t="str">
        <f t="shared" si="14"/>
        <v/>
      </c>
      <c r="C959" s="29"/>
      <c r="D959" s="29"/>
      <c r="E959" s="29"/>
      <c r="F959" s="29"/>
      <c r="G959" s="29"/>
      <c r="H959" s="29"/>
      <c r="I959" s="29"/>
      <c r="J959" s="98" t="str" cm="1">
        <f t="array" ref="J959">IF(ISBLANK($C959),"",SUMPRODUCT(--(LEFT(D959:I959, 1) = "*"))*50)</f>
        <v/>
      </c>
    </row>
    <row r="960" spans="1:10" ht="27" customHeight="1">
      <c r="A960" s="29"/>
      <c r="B960" s="98" t="str">
        <f t="shared" si="14"/>
        <v/>
      </c>
      <c r="C960" s="29"/>
      <c r="D960" s="29"/>
      <c r="E960" s="29"/>
      <c r="F960" s="29"/>
      <c r="G960" s="29"/>
      <c r="H960" s="29"/>
      <c r="I960" s="29"/>
      <c r="J960" s="98" t="str" cm="1">
        <f t="array" ref="J960">IF(ISBLANK($C960),"",SUMPRODUCT(--(LEFT(D960:I960, 1) = "*"))*50)</f>
        <v/>
      </c>
    </row>
    <row r="961" spans="1:10" ht="27" customHeight="1">
      <c r="A961" s="29"/>
      <c r="B961" s="98" t="str">
        <f t="shared" si="14"/>
        <v/>
      </c>
      <c r="C961" s="29"/>
      <c r="D961" s="29"/>
      <c r="E961" s="29"/>
      <c r="F961" s="29"/>
      <c r="G961" s="29"/>
      <c r="H961" s="29"/>
      <c r="I961" s="29"/>
      <c r="J961" s="98" t="str" cm="1">
        <f t="array" ref="J961">IF(ISBLANK($C961),"",SUMPRODUCT(--(LEFT(D961:I961, 1) = "*"))*50)</f>
        <v/>
      </c>
    </row>
    <row r="962" spans="1:10" ht="27" customHeight="1">
      <c r="A962" s="29"/>
      <c r="B962" s="98" t="str">
        <f t="shared" si="14"/>
        <v/>
      </c>
      <c r="C962" s="29"/>
      <c r="D962" s="29"/>
      <c r="E962" s="29"/>
      <c r="F962" s="29"/>
      <c r="G962" s="29"/>
      <c r="H962" s="29"/>
      <c r="I962" s="29"/>
      <c r="J962" s="98" t="str" cm="1">
        <f t="array" ref="J962">IF(ISBLANK($C962),"",SUMPRODUCT(--(LEFT(D962:I962, 1) = "*"))*50)</f>
        <v/>
      </c>
    </row>
    <row r="963" spans="1:10" ht="27" customHeight="1">
      <c r="A963" s="29"/>
      <c r="B963" s="98" t="str">
        <f t="shared" ref="B963:B1000" si="15">IF(ISBLANK($C963),"","MCQ")</f>
        <v/>
      </c>
      <c r="C963" s="29"/>
      <c r="D963" s="29"/>
      <c r="E963" s="29"/>
      <c r="F963" s="29"/>
      <c r="G963" s="29"/>
      <c r="H963" s="29"/>
      <c r="I963" s="29"/>
      <c r="J963" s="98" t="str" cm="1">
        <f t="array" ref="J963">IF(ISBLANK($C963),"",SUMPRODUCT(--(LEFT(D963:I963, 1) = "*"))*50)</f>
        <v/>
      </c>
    </row>
    <row r="964" spans="1:10" ht="27" customHeight="1">
      <c r="A964" s="29"/>
      <c r="B964" s="98" t="str">
        <f t="shared" si="15"/>
        <v/>
      </c>
      <c r="C964" s="29"/>
      <c r="D964" s="29"/>
      <c r="E964" s="29"/>
      <c r="F964" s="29"/>
      <c r="G964" s="29"/>
      <c r="H964" s="29"/>
      <c r="I964" s="29"/>
      <c r="J964" s="98" t="str" cm="1">
        <f t="array" ref="J964">IF(ISBLANK($C964),"",SUMPRODUCT(--(LEFT(D964:I964, 1) = "*"))*50)</f>
        <v/>
      </c>
    </row>
    <row r="965" spans="1:10" ht="27" customHeight="1">
      <c r="A965" s="29"/>
      <c r="B965" s="98" t="str">
        <f t="shared" si="15"/>
        <v/>
      </c>
      <c r="C965" s="29"/>
      <c r="D965" s="29"/>
      <c r="E965" s="29"/>
      <c r="F965" s="29"/>
      <c r="G965" s="29"/>
      <c r="H965" s="29"/>
      <c r="I965" s="29"/>
      <c r="J965" s="98" t="str" cm="1">
        <f t="array" ref="J965">IF(ISBLANK($C965),"",SUMPRODUCT(--(LEFT(D965:I965, 1) = "*"))*50)</f>
        <v/>
      </c>
    </row>
    <row r="966" spans="1:10" ht="27" customHeight="1">
      <c r="A966" s="29"/>
      <c r="B966" s="98" t="str">
        <f t="shared" si="15"/>
        <v/>
      </c>
      <c r="C966" s="29"/>
      <c r="D966" s="29"/>
      <c r="E966" s="29"/>
      <c r="F966" s="29"/>
      <c r="G966" s="29"/>
      <c r="H966" s="29"/>
      <c r="I966" s="29"/>
      <c r="J966" s="98" t="str" cm="1">
        <f t="array" ref="J966">IF(ISBLANK($C966),"",SUMPRODUCT(--(LEFT(D966:I966, 1) = "*"))*50)</f>
        <v/>
      </c>
    </row>
    <row r="967" spans="1:10" ht="27" customHeight="1">
      <c r="A967" s="29"/>
      <c r="B967" s="98" t="str">
        <f t="shared" si="15"/>
        <v/>
      </c>
      <c r="C967" s="29"/>
      <c r="D967" s="29"/>
      <c r="E967" s="29"/>
      <c r="F967" s="29"/>
      <c r="G967" s="29"/>
      <c r="H967" s="29"/>
      <c r="I967" s="29"/>
      <c r="J967" s="98" t="str" cm="1">
        <f t="array" ref="J967">IF(ISBLANK($C967),"",SUMPRODUCT(--(LEFT(D967:I967, 1) = "*"))*50)</f>
        <v/>
      </c>
    </row>
    <row r="968" spans="1:10" ht="27" customHeight="1">
      <c r="A968" s="29"/>
      <c r="B968" s="98" t="str">
        <f t="shared" si="15"/>
        <v/>
      </c>
      <c r="C968" s="29"/>
      <c r="D968" s="29"/>
      <c r="E968" s="29"/>
      <c r="F968" s="29"/>
      <c r="G968" s="29"/>
      <c r="H968" s="29"/>
      <c r="I968" s="29"/>
      <c r="J968" s="98" t="str" cm="1">
        <f t="array" ref="J968">IF(ISBLANK($C968),"",SUMPRODUCT(--(LEFT(D968:I968, 1) = "*"))*50)</f>
        <v/>
      </c>
    </row>
    <row r="969" spans="1:10" ht="27" customHeight="1">
      <c r="A969" s="29"/>
      <c r="B969" s="98" t="str">
        <f t="shared" si="15"/>
        <v/>
      </c>
      <c r="C969" s="29"/>
      <c r="D969" s="29"/>
      <c r="E969" s="29"/>
      <c r="F969" s="29"/>
      <c r="G969" s="29"/>
      <c r="H969" s="29"/>
      <c r="I969" s="29"/>
      <c r="J969" s="98" t="str" cm="1">
        <f t="array" ref="J969">IF(ISBLANK($C969),"",SUMPRODUCT(--(LEFT(D969:I969, 1) = "*"))*50)</f>
        <v/>
      </c>
    </row>
    <row r="970" spans="1:10" ht="27" customHeight="1">
      <c r="A970" s="29"/>
      <c r="B970" s="98" t="str">
        <f t="shared" si="15"/>
        <v/>
      </c>
      <c r="C970" s="29"/>
      <c r="D970" s="29"/>
      <c r="E970" s="29"/>
      <c r="F970" s="29"/>
      <c r="G970" s="29"/>
      <c r="H970" s="29"/>
      <c r="I970" s="29"/>
      <c r="J970" s="98" t="str" cm="1">
        <f t="array" ref="J970">IF(ISBLANK($C970),"",SUMPRODUCT(--(LEFT(D970:I970, 1) = "*"))*50)</f>
        <v/>
      </c>
    </row>
    <row r="971" spans="1:10" ht="27" customHeight="1">
      <c r="A971" s="29"/>
      <c r="B971" s="98" t="str">
        <f t="shared" si="15"/>
        <v/>
      </c>
      <c r="C971" s="29"/>
      <c r="D971" s="29"/>
      <c r="E971" s="29"/>
      <c r="F971" s="29"/>
      <c r="G971" s="29"/>
      <c r="H971" s="29"/>
      <c r="I971" s="29"/>
      <c r="J971" s="98" t="str" cm="1">
        <f t="array" ref="J971">IF(ISBLANK($C971),"",SUMPRODUCT(--(LEFT(D971:I971, 1) = "*"))*50)</f>
        <v/>
      </c>
    </row>
    <row r="972" spans="1:10" ht="27" customHeight="1">
      <c r="A972" s="29"/>
      <c r="B972" s="98" t="str">
        <f t="shared" si="15"/>
        <v/>
      </c>
      <c r="C972" s="29"/>
      <c r="D972" s="29"/>
      <c r="E972" s="29"/>
      <c r="F972" s="29"/>
      <c r="G972" s="29"/>
      <c r="H972" s="29"/>
      <c r="I972" s="29"/>
      <c r="J972" s="98" t="str" cm="1">
        <f t="array" ref="J972">IF(ISBLANK($C972),"",SUMPRODUCT(--(LEFT(D972:I972, 1) = "*"))*50)</f>
        <v/>
      </c>
    </row>
    <row r="973" spans="1:10" ht="27" customHeight="1">
      <c r="A973" s="29"/>
      <c r="B973" s="98" t="str">
        <f t="shared" si="15"/>
        <v/>
      </c>
      <c r="C973" s="29"/>
      <c r="D973" s="29"/>
      <c r="E973" s="29"/>
      <c r="F973" s="29"/>
      <c r="G973" s="29"/>
      <c r="H973" s="29"/>
      <c r="I973" s="29"/>
      <c r="J973" s="98" t="str" cm="1">
        <f t="array" ref="J973">IF(ISBLANK($C973),"",SUMPRODUCT(--(LEFT(D973:I973, 1) = "*"))*50)</f>
        <v/>
      </c>
    </row>
    <row r="974" spans="1:10" ht="27" customHeight="1">
      <c r="A974" s="29"/>
      <c r="B974" s="98" t="str">
        <f t="shared" si="15"/>
        <v/>
      </c>
      <c r="C974" s="29"/>
      <c r="D974" s="29"/>
      <c r="E974" s="29"/>
      <c r="F974" s="29"/>
      <c r="G974" s="29"/>
      <c r="H974" s="29"/>
      <c r="I974" s="29"/>
      <c r="J974" s="98" t="str" cm="1">
        <f t="array" ref="J974">IF(ISBLANK($C974),"",SUMPRODUCT(--(LEFT(D974:I974, 1) = "*"))*50)</f>
        <v/>
      </c>
    </row>
    <row r="975" spans="1:10" ht="27" customHeight="1">
      <c r="A975" s="29"/>
      <c r="B975" s="98" t="str">
        <f t="shared" si="15"/>
        <v/>
      </c>
      <c r="C975" s="29"/>
      <c r="D975" s="29"/>
      <c r="E975" s="29"/>
      <c r="F975" s="29"/>
      <c r="G975" s="29"/>
      <c r="H975" s="29"/>
      <c r="I975" s="29"/>
      <c r="J975" s="98" t="str" cm="1">
        <f t="array" ref="J975">IF(ISBLANK($C975),"",SUMPRODUCT(--(LEFT(D975:I975, 1) = "*"))*50)</f>
        <v/>
      </c>
    </row>
    <row r="976" spans="1:10" ht="27" customHeight="1">
      <c r="A976" s="29"/>
      <c r="B976" s="98" t="str">
        <f t="shared" si="15"/>
        <v/>
      </c>
      <c r="C976" s="29"/>
      <c r="D976" s="29"/>
      <c r="E976" s="29"/>
      <c r="F976" s="29"/>
      <c r="G976" s="29"/>
      <c r="H976" s="29"/>
      <c r="I976" s="29"/>
      <c r="J976" s="98" t="str" cm="1">
        <f t="array" ref="J976">IF(ISBLANK($C976),"",SUMPRODUCT(--(LEFT(D976:I976, 1) = "*"))*50)</f>
        <v/>
      </c>
    </row>
    <row r="977" spans="1:10" ht="27" customHeight="1">
      <c r="A977" s="29"/>
      <c r="B977" s="98" t="str">
        <f t="shared" si="15"/>
        <v/>
      </c>
      <c r="C977" s="29"/>
      <c r="D977" s="29"/>
      <c r="E977" s="29"/>
      <c r="F977" s="29"/>
      <c r="G977" s="29"/>
      <c r="H977" s="29"/>
      <c r="I977" s="29"/>
      <c r="J977" s="98" t="str" cm="1">
        <f t="array" ref="J977">IF(ISBLANK($C977),"",SUMPRODUCT(--(LEFT(D977:I977, 1) = "*"))*50)</f>
        <v/>
      </c>
    </row>
    <row r="978" spans="1:10" ht="27" customHeight="1">
      <c r="A978" s="29"/>
      <c r="B978" s="98" t="str">
        <f t="shared" si="15"/>
        <v/>
      </c>
      <c r="C978" s="29"/>
      <c r="D978" s="29"/>
      <c r="E978" s="29"/>
      <c r="F978" s="29"/>
      <c r="G978" s="29"/>
      <c r="H978" s="29"/>
      <c r="I978" s="29"/>
      <c r="J978" s="98" t="str" cm="1">
        <f t="array" ref="J978">IF(ISBLANK($C978),"",SUMPRODUCT(--(LEFT(D978:I978, 1) = "*"))*50)</f>
        <v/>
      </c>
    </row>
    <row r="979" spans="1:10" ht="27" customHeight="1">
      <c r="A979" s="29"/>
      <c r="B979" s="98" t="str">
        <f t="shared" si="15"/>
        <v/>
      </c>
      <c r="C979" s="29"/>
      <c r="D979" s="29"/>
      <c r="E979" s="29"/>
      <c r="F979" s="29"/>
      <c r="G979" s="29"/>
      <c r="H979" s="29"/>
      <c r="I979" s="29"/>
      <c r="J979" s="98" t="str" cm="1">
        <f t="array" ref="J979">IF(ISBLANK($C979),"",SUMPRODUCT(--(LEFT(D979:I979, 1) = "*"))*50)</f>
        <v/>
      </c>
    </row>
    <row r="980" spans="1:10" ht="27" customHeight="1">
      <c r="A980" s="29"/>
      <c r="B980" s="98" t="str">
        <f t="shared" si="15"/>
        <v/>
      </c>
      <c r="C980" s="29"/>
      <c r="D980" s="29"/>
      <c r="E980" s="29"/>
      <c r="F980" s="29"/>
      <c r="G980" s="29"/>
      <c r="H980" s="29"/>
      <c r="I980" s="29"/>
      <c r="J980" s="98" t="str" cm="1">
        <f t="array" ref="J980">IF(ISBLANK($C980),"",SUMPRODUCT(--(LEFT(D980:I980, 1) = "*"))*50)</f>
        <v/>
      </c>
    </row>
    <row r="981" spans="1:10" ht="27" customHeight="1">
      <c r="A981" s="29"/>
      <c r="B981" s="98" t="str">
        <f t="shared" si="15"/>
        <v/>
      </c>
      <c r="C981" s="29"/>
      <c r="D981" s="29"/>
      <c r="E981" s="29"/>
      <c r="F981" s="29"/>
      <c r="G981" s="29"/>
      <c r="H981" s="29"/>
      <c r="I981" s="29"/>
      <c r="J981" s="98" t="str" cm="1">
        <f t="array" ref="J981">IF(ISBLANK($C981),"",SUMPRODUCT(--(LEFT(D981:I981, 1) = "*"))*50)</f>
        <v/>
      </c>
    </row>
    <row r="982" spans="1:10" ht="27" customHeight="1">
      <c r="A982" s="29"/>
      <c r="B982" s="98" t="str">
        <f t="shared" si="15"/>
        <v/>
      </c>
      <c r="C982" s="29"/>
      <c r="D982" s="29"/>
      <c r="E982" s="29"/>
      <c r="F982" s="29"/>
      <c r="G982" s="29"/>
      <c r="H982" s="29"/>
      <c r="I982" s="29"/>
      <c r="J982" s="98" t="str" cm="1">
        <f t="array" ref="J982">IF(ISBLANK($C982),"",SUMPRODUCT(--(LEFT(D982:I982, 1) = "*"))*50)</f>
        <v/>
      </c>
    </row>
    <row r="983" spans="1:10" ht="27" customHeight="1">
      <c r="A983" s="29"/>
      <c r="B983" s="98" t="str">
        <f t="shared" si="15"/>
        <v/>
      </c>
      <c r="C983" s="29"/>
      <c r="D983" s="29"/>
      <c r="E983" s="29"/>
      <c r="F983" s="29"/>
      <c r="G983" s="29"/>
      <c r="H983" s="29"/>
      <c r="I983" s="29"/>
      <c r="J983" s="98" t="str" cm="1">
        <f t="array" ref="J983">IF(ISBLANK($C983),"",SUMPRODUCT(--(LEFT(D983:I983, 1) = "*"))*50)</f>
        <v/>
      </c>
    </row>
    <row r="984" spans="1:10" ht="27" customHeight="1">
      <c r="A984" s="29"/>
      <c r="B984" s="98" t="str">
        <f t="shared" si="15"/>
        <v/>
      </c>
      <c r="C984" s="29"/>
      <c r="D984" s="29"/>
      <c r="E984" s="29"/>
      <c r="F984" s="29"/>
      <c r="G984" s="29"/>
      <c r="H984" s="29"/>
      <c r="I984" s="29"/>
      <c r="J984" s="98" t="str" cm="1">
        <f t="array" ref="J984">IF(ISBLANK($C984),"",SUMPRODUCT(--(LEFT(D984:I984, 1) = "*"))*50)</f>
        <v/>
      </c>
    </row>
    <row r="985" spans="1:10" ht="27" customHeight="1">
      <c r="A985" s="29"/>
      <c r="B985" s="98" t="str">
        <f t="shared" si="15"/>
        <v/>
      </c>
      <c r="C985" s="29"/>
      <c r="D985" s="29"/>
      <c r="E985" s="29"/>
      <c r="F985" s="29"/>
      <c r="G985" s="29"/>
      <c r="H985" s="29"/>
      <c r="I985" s="29"/>
      <c r="J985" s="98" t="str" cm="1">
        <f t="array" ref="J985">IF(ISBLANK($C985),"",SUMPRODUCT(--(LEFT(D985:I985, 1) = "*"))*50)</f>
        <v/>
      </c>
    </row>
    <row r="986" spans="1:10" ht="27" customHeight="1">
      <c r="A986" s="29"/>
      <c r="B986" s="98" t="str">
        <f t="shared" si="15"/>
        <v/>
      </c>
      <c r="C986" s="29"/>
      <c r="D986" s="29"/>
      <c r="E986" s="29"/>
      <c r="F986" s="29"/>
      <c r="G986" s="29"/>
      <c r="H986" s="29"/>
      <c r="I986" s="29"/>
      <c r="J986" s="98" t="str" cm="1">
        <f t="array" ref="J986">IF(ISBLANK($C986),"",SUMPRODUCT(--(LEFT(D986:I986, 1) = "*"))*50)</f>
        <v/>
      </c>
    </row>
    <row r="987" spans="1:10" ht="27" customHeight="1">
      <c r="A987" s="29"/>
      <c r="B987" s="98" t="str">
        <f t="shared" si="15"/>
        <v/>
      </c>
      <c r="C987" s="29"/>
      <c r="D987" s="29"/>
      <c r="E987" s="29"/>
      <c r="F987" s="29"/>
      <c r="G987" s="29"/>
      <c r="H987" s="29"/>
      <c r="I987" s="29"/>
      <c r="J987" s="98" t="str" cm="1">
        <f t="array" ref="J987">IF(ISBLANK($C987),"",SUMPRODUCT(--(LEFT(D987:I987, 1) = "*"))*50)</f>
        <v/>
      </c>
    </row>
    <row r="988" spans="1:10" ht="27" customHeight="1">
      <c r="A988" s="29"/>
      <c r="B988" s="98" t="str">
        <f t="shared" si="15"/>
        <v/>
      </c>
      <c r="C988" s="29"/>
      <c r="D988" s="29"/>
      <c r="E988" s="29"/>
      <c r="F988" s="29"/>
      <c r="G988" s="29"/>
      <c r="H988" s="29"/>
      <c r="I988" s="29"/>
      <c r="J988" s="98" t="str" cm="1">
        <f t="array" ref="J988">IF(ISBLANK($C988),"",SUMPRODUCT(--(LEFT(D988:I988, 1) = "*"))*50)</f>
        <v/>
      </c>
    </row>
    <row r="989" spans="1:10" ht="27" customHeight="1">
      <c r="A989" s="29"/>
      <c r="B989" s="98" t="str">
        <f t="shared" si="15"/>
        <v/>
      </c>
      <c r="C989" s="29"/>
      <c r="D989" s="29"/>
      <c r="E989" s="29"/>
      <c r="F989" s="29"/>
      <c r="G989" s="29"/>
      <c r="H989" s="29"/>
      <c r="I989" s="29"/>
      <c r="J989" s="98" t="str" cm="1">
        <f t="array" ref="J989">IF(ISBLANK($C989),"",SUMPRODUCT(--(LEFT(D989:I989, 1) = "*"))*50)</f>
        <v/>
      </c>
    </row>
    <row r="990" spans="1:10" ht="27" customHeight="1">
      <c r="A990" s="29"/>
      <c r="B990" s="98" t="str">
        <f t="shared" si="15"/>
        <v/>
      </c>
      <c r="C990" s="29"/>
      <c r="D990" s="29"/>
      <c r="E990" s="29"/>
      <c r="F990" s="29"/>
      <c r="G990" s="29"/>
      <c r="H990" s="29"/>
      <c r="I990" s="29"/>
      <c r="J990" s="98" t="str" cm="1">
        <f t="array" ref="J990">IF(ISBLANK($C990),"",SUMPRODUCT(--(LEFT(D990:I990, 1) = "*"))*50)</f>
        <v/>
      </c>
    </row>
    <row r="991" spans="1:10" ht="27" customHeight="1">
      <c r="A991" s="29"/>
      <c r="B991" s="98" t="str">
        <f t="shared" si="15"/>
        <v/>
      </c>
      <c r="C991" s="29"/>
      <c r="D991" s="29"/>
      <c r="E991" s="29"/>
      <c r="F991" s="29"/>
      <c r="G991" s="29"/>
      <c r="H991" s="29"/>
      <c r="I991" s="29"/>
      <c r="J991" s="98" t="str" cm="1">
        <f t="array" ref="J991">IF(ISBLANK($C991),"",SUMPRODUCT(--(LEFT(D991:I991, 1) = "*"))*50)</f>
        <v/>
      </c>
    </row>
    <row r="992" spans="1:10" ht="27" customHeight="1">
      <c r="A992" s="29"/>
      <c r="B992" s="98" t="str">
        <f t="shared" si="15"/>
        <v/>
      </c>
      <c r="C992" s="29"/>
      <c r="D992" s="29"/>
      <c r="E992" s="29"/>
      <c r="F992" s="29"/>
      <c r="G992" s="29"/>
      <c r="H992" s="29"/>
      <c r="I992" s="29"/>
      <c r="J992" s="98" t="str" cm="1">
        <f t="array" ref="J992">IF(ISBLANK($C992),"",SUMPRODUCT(--(LEFT(D992:I992, 1) = "*"))*50)</f>
        <v/>
      </c>
    </row>
    <row r="993" spans="1:10" ht="27" customHeight="1">
      <c r="A993" s="29"/>
      <c r="B993" s="98" t="str">
        <f t="shared" si="15"/>
        <v/>
      </c>
      <c r="C993" s="29"/>
      <c r="D993" s="29"/>
      <c r="E993" s="29"/>
      <c r="F993" s="29"/>
      <c r="G993" s="29"/>
      <c r="H993" s="29"/>
      <c r="I993" s="29"/>
      <c r="J993" s="98" t="str" cm="1">
        <f t="array" ref="J993">IF(ISBLANK($C993),"",SUMPRODUCT(--(LEFT(D993:I993, 1) = "*"))*50)</f>
        <v/>
      </c>
    </row>
    <row r="994" spans="1:10" ht="27" customHeight="1">
      <c r="A994" s="29"/>
      <c r="B994" s="98" t="str">
        <f t="shared" si="15"/>
        <v/>
      </c>
      <c r="C994" s="29"/>
      <c r="D994" s="29"/>
      <c r="E994" s="29"/>
      <c r="F994" s="29"/>
      <c r="G994" s="29"/>
      <c r="H994" s="29"/>
      <c r="I994" s="29"/>
      <c r="J994" s="98" t="str" cm="1">
        <f t="array" ref="J994">IF(ISBLANK($C994),"",SUMPRODUCT(--(LEFT(D994:I994, 1) = "*"))*50)</f>
        <v/>
      </c>
    </row>
    <row r="995" spans="1:10" ht="27" customHeight="1">
      <c r="A995" s="29"/>
      <c r="B995" s="98" t="str">
        <f t="shared" si="15"/>
        <v/>
      </c>
      <c r="C995" s="29"/>
      <c r="D995" s="29"/>
      <c r="E995" s="29"/>
      <c r="F995" s="29"/>
      <c r="G995" s="29"/>
      <c r="H995" s="29"/>
      <c r="I995" s="29"/>
      <c r="J995" s="98" t="str" cm="1">
        <f t="array" ref="J995">IF(ISBLANK($C995),"",SUMPRODUCT(--(LEFT(D995:I995, 1) = "*"))*50)</f>
        <v/>
      </c>
    </row>
    <row r="996" spans="1:10" ht="27" customHeight="1">
      <c r="A996" s="29"/>
      <c r="B996" s="98" t="str">
        <f t="shared" si="15"/>
        <v/>
      </c>
      <c r="C996" s="29"/>
      <c r="D996" s="29"/>
      <c r="E996" s="29"/>
      <c r="F996" s="29"/>
      <c r="G996" s="29"/>
      <c r="H996" s="29"/>
      <c r="I996" s="29"/>
      <c r="J996" s="98" t="str" cm="1">
        <f t="array" ref="J996">IF(ISBLANK($C996),"",SUMPRODUCT(--(LEFT(D996:I996, 1) = "*"))*50)</f>
        <v/>
      </c>
    </row>
    <row r="997" spans="1:10" ht="27" customHeight="1">
      <c r="A997" s="29"/>
      <c r="B997" s="98" t="str">
        <f t="shared" si="15"/>
        <v/>
      </c>
      <c r="C997" s="29"/>
      <c r="D997" s="29"/>
      <c r="E997" s="29"/>
      <c r="F997" s="29"/>
      <c r="G997" s="29"/>
      <c r="H997" s="29"/>
      <c r="I997" s="29"/>
      <c r="J997" s="98" t="str" cm="1">
        <f t="array" ref="J997">IF(ISBLANK($C997),"",SUMPRODUCT(--(LEFT(D997:I997, 1) = "*"))*50)</f>
        <v/>
      </c>
    </row>
    <row r="998" spans="1:10" ht="27" customHeight="1">
      <c r="A998" s="29"/>
      <c r="B998" s="98" t="str">
        <f t="shared" si="15"/>
        <v/>
      </c>
      <c r="C998" s="29"/>
      <c r="D998" s="29"/>
      <c r="E998" s="29"/>
      <c r="F998" s="29"/>
      <c r="G998" s="29"/>
      <c r="H998" s="29"/>
      <c r="I998" s="29"/>
      <c r="J998" s="98" t="str" cm="1">
        <f t="array" ref="J998">IF(ISBLANK($C998),"",SUMPRODUCT(--(LEFT(D998:I998, 1) = "*"))*50)</f>
        <v/>
      </c>
    </row>
    <row r="999" spans="1:10" ht="27" customHeight="1">
      <c r="A999" s="29"/>
      <c r="B999" s="98" t="str">
        <f t="shared" si="15"/>
        <v/>
      </c>
      <c r="C999" s="29"/>
      <c r="D999" s="29"/>
      <c r="E999" s="29"/>
      <c r="F999" s="29"/>
      <c r="G999" s="29"/>
      <c r="H999" s="29"/>
      <c r="I999" s="29"/>
      <c r="J999" s="98" t="str" cm="1">
        <f t="array" ref="J999">IF(ISBLANK($C999),"",SUMPRODUCT(--(LEFT(D999:I999, 1) = "*"))*50)</f>
        <v/>
      </c>
    </row>
    <row r="1000" spans="1:10" ht="27" customHeight="1">
      <c r="A1000" s="29"/>
      <c r="B1000" s="98" t="str">
        <f t="shared" si="15"/>
        <v/>
      </c>
      <c r="C1000" s="29"/>
      <c r="D1000" s="29"/>
      <c r="E1000" s="29"/>
      <c r="F1000" s="29"/>
      <c r="G1000" s="29"/>
      <c r="H1000" s="29"/>
      <c r="I1000" s="29"/>
      <c r="J1000" s="98" t="str" cm="1">
        <f t="array" ref="J1000">IF(ISBLANK($C1000),"",SUMPRODUCT(--(LEFT(D1000:I1000, 1) = "*"))*50)</f>
        <v/>
      </c>
    </row>
  </sheetData>
  <sheetProtection algorithmName="SHA-512" hashValue="2SmNWdTNjyFvWGIRTNz4rTJHn25LlFPRYSlKRHSl8VkalXXoxoeS6JYKWN16OMZl7Zx+7XncEpi2F4s1sdCPvg==" saltValue="h4IJrUef8XrKxDNIW55A1A==" spinCount="100000" sheet="1" objects="1" scenarios="1" sort="0"/>
  <autoFilter ref="A1:J1" xr:uid="{7C021579-6F72-49D5-BA82-DC967AFC8AA2}"/>
  <conditionalFormatting sqref="A2:J1000">
    <cfRule type="expression" dxfId="59" priority="4">
      <formula>COUNTA($A1)</formula>
    </cfRule>
  </conditionalFormatting>
  <conditionalFormatting sqref="C2:C1000">
    <cfRule type="duplicateValues" dxfId="58" priority="1"/>
    <cfRule type="expression" dxfId="57" priority="11">
      <formula>LEN($C2)&gt;1000</formula>
    </cfRule>
  </conditionalFormatting>
  <conditionalFormatting sqref="C930:C1000">
    <cfRule type="expression" dxfId="56" priority="12">
      <formula>LEN($C2)&gt;1000</formula>
    </cfRule>
  </conditionalFormatting>
  <conditionalFormatting sqref="C2:I1000">
    <cfRule type="expression" dxfId="55" priority="2">
      <formula>$J2=0</formula>
    </cfRule>
    <cfRule type="expression" dxfId="54" priority="3">
      <formula>AND($C2&lt;&gt;"", OR($D2="", $E2=""))</formula>
    </cfRule>
  </conditionalFormatting>
  <conditionalFormatting sqref="D2:D1000">
    <cfRule type="expression" dxfId="53" priority="10">
      <formula>LEN($D2)&gt;1000</formula>
    </cfRule>
  </conditionalFormatting>
  <conditionalFormatting sqref="E2:E1000">
    <cfRule type="expression" dxfId="52" priority="9">
      <formula>LEN($E2)&gt;1000</formula>
    </cfRule>
  </conditionalFormatting>
  <conditionalFormatting sqref="F2:F1000">
    <cfRule type="expression" dxfId="51" priority="8">
      <formula>LEN($F2)&gt;1000</formula>
    </cfRule>
  </conditionalFormatting>
  <conditionalFormatting sqref="G2:G1000">
    <cfRule type="expression" dxfId="50" priority="7">
      <formula>LEN($G2)&gt;1000</formula>
    </cfRule>
  </conditionalFormatting>
  <conditionalFormatting sqref="H2:H1000">
    <cfRule type="expression" dxfId="49" priority="6">
      <formula>LEN($H2)&gt;1000</formula>
    </cfRule>
  </conditionalFormatting>
  <conditionalFormatting sqref="I2:I1000">
    <cfRule type="expression" dxfId="48" priority="5">
      <formula>LEN($I2)&gt;1000</formula>
    </cfRule>
  </conditionalFormatting>
  <pageMargins left="0.7" right="0.7" top="0.75" bottom="0.75" header="0.3" footer="0.3"/>
  <headerFooter>
    <oddFooter>&amp;R_x000D_&amp;1#&amp;"Calibri"&amp;8&amp;K000000 Cisco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4ECDE-9E77-4B93-BB03-6D4A0308A3A1}">
  <sheetPr>
    <tabColor theme="9"/>
  </sheetPr>
  <dimension ref="A1:L11"/>
  <sheetViews>
    <sheetView showGridLines="0" workbookViewId="0">
      <selection activeCell="C11" sqref="C11:D11"/>
    </sheetView>
  </sheetViews>
  <sheetFormatPr defaultColWidth="8.85546875" defaultRowHeight="14.45"/>
  <cols>
    <col min="2" max="2" width="24.5703125" customWidth="1"/>
    <col min="3" max="3" width="44.5703125" customWidth="1"/>
  </cols>
  <sheetData>
    <row r="1" spans="1:12" ht="39" thickBot="1">
      <c r="A1" s="129" t="s">
        <v>66</v>
      </c>
      <c r="B1" s="129"/>
      <c r="C1" s="129"/>
      <c r="D1" s="129"/>
      <c r="E1" s="129"/>
      <c r="F1" s="109"/>
      <c r="G1" s="109"/>
      <c r="H1" s="109"/>
      <c r="I1" s="109"/>
      <c r="J1" s="109"/>
      <c r="K1" s="109"/>
      <c r="L1" s="109"/>
    </row>
    <row r="2" spans="1:12">
      <c r="D2" s="110"/>
    </row>
    <row r="3" spans="1:12">
      <c r="B3" s="32" t="s">
        <v>1</v>
      </c>
      <c r="C3" s="154" t="s">
        <v>67</v>
      </c>
      <c r="D3" s="154"/>
      <c r="E3" t="s">
        <v>3</v>
      </c>
    </row>
    <row r="4" spans="1:12">
      <c r="C4" s="153"/>
      <c r="D4" s="153"/>
    </row>
    <row r="5" spans="1:12">
      <c r="B5" s="33" t="s">
        <v>8</v>
      </c>
      <c r="C5" s="154" t="s">
        <v>68</v>
      </c>
      <c r="D5" s="154"/>
      <c r="E5" t="s">
        <v>3</v>
      </c>
    </row>
    <row r="6" spans="1:12">
      <c r="C6" s="153"/>
      <c r="D6" s="153"/>
    </row>
    <row r="7" spans="1:12">
      <c r="B7" s="32" t="s">
        <v>13</v>
      </c>
      <c r="C7" s="130">
        <v>0.8</v>
      </c>
      <c r="D7" s="131"/>
      <c r="E7" t="s">
        <v>3</v>
      </c>
    </row>
    <row r="8" spans="1:12">
      <c r="C8" s="153"/>
      <c r="D8" s="153"/>
    </row>
    <row r="9" spans="1:12">
      <c r="B9" s="32" t="s">
        <v>69</v>
      </c>
      <c r="C9" s="127">
        <v>0.8</v>
      </c>
      <c r="D9" s="127"/>
    </row>
    <row r="11" spans="1:12">
      <c r="B11" s="32" t="s">
        <v>70</v>
      </c>
      <c r="C11" s="128">
        <f>COUNTA(Assessment!$C:$C)-1</f>
        <v>1</v>
      </c>
      <c r="D11" s="128"/>
    </row>
  </sheetData>
  <sheetProtection algorithmName="SHA-512" hashValue="DAsS98CN/P1QdZq1eLJ5hm/0ZpyIzgJFpNgxuQMKj+jREpWUZ7ILwH1HxlCYElg2+MPqetGxT0Vt6IG4KOBsNQ==" saltValue="0tIU6LQOMiV8TrSXTtkQYA==" spinCount="100000" sheet="1" objects="1" scenarios="1"/>
  <mergeCells count="9">
    <mergeCell ref="C9:D9"/>
    <mergeCell ref="C11:D11"/>
    <mergeCell ref="C8:D8"/>
    <mergeCell ref="A1:E1"/>
    <mergeCell ref="C3:D3"/>
    <mergeCell ref="C4:D4"/>
    <mergeCell ref="C5:D5"/>
    <mergeCell ref="C6:D6"/>
    <mergeCell ref="C7:D7"/>
  </mergeCells>
  <conditionalFormatting sqref="C3:D3">
    <cfRule type="expression" dxfId="47" priority="1">
      <formula>LEN($C$3)&gt;80</formula>
    </cfRule>
  </conditionalFormatting>
  <conditionalFormatting sqref="C5:D5">
    <cfRule type="expression" dxfId="46" priority="2">
      <formula>LEN($C$5)&gt;255</formula>
    </cfRule>
  </conditionalFormatting>
  <dataValidations count="3">
    <dataValidation type="textLength" errorStyle="warning" allowBlank="1" showInputMessage="1" showErrorMessage="1" errorTitle="Check Quiz Title" error="Quiz Title exceeds the max character limit of 80. Kindly edit." sqref="C4 C6:C9 C11" xr:uid="{85E2B2F8-E125-4386-861D-39C7041E3599}">
      <formula1>0</formula1>
      <formula2>80</formula2>
    </dataValidation>
    <dataValidation type="textLength" errorStyle="warning" allowBlank="1" showErrorMessage="1" errorTitle="Check Quiz Title" error="Quiz Title exceeds the max character limit of 80. Kindly edit." sqref="C3:D3" xr:uid="{4A776FC5-7EF3-4ED6-BFB9-28E4E3C31DF6}">
      <formula1>0</formula1>
      <formula2>80</formula2>
    </dataValidation>
    <dataValidation type="textLength" errorStyle="warning" allowBlank="1" showErrorMessage="1" errorTitle="Check Description" error="Description exceeds the max character limit of 255. Kindly edit." sqref="C5:D5" xr:uid="{B67A0F39-86C3-46C8-830D-1852C4D2A346}">
      <formula1>1</formula1>
      <formula2>255</formula2>
    </dataValidation>
  </dataValidations>
  <pageMargins left="0.7" right="0.7" top="0.75" bottom="0.75" header="0.3" footer="0.3"/>
  <headerFooter>
    <oddFooter>&amp;R_x000D_&amp;1#&amp;"Calibri"&amp;8&amp;K000000 Cisco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40858-BA27-4E67-B87B-B564897F9154}">
  <sheetPr>
    <tabColor theme="4"/>
  </sheetPr>
  <dimension ref="A1:XFD1048576"/>
  <sheetViews>
    <sheetView showGridLines="0" tabSelected="1" topLeftCell="A15" zoomScale="102" zoomScaleNormal="140" workbookViewId="0">
      <selection activeCell="A20" sqref="A20"/>
    </sheetView>
  </sheetViews>
  <sheetFormatPr defaultColWidth="8.7109375" defaultRowHeight="14.45"/>
  <cols>
    <col min="1" max="1" width="19" style="26" customWidth="1"/>
    <col min="2" max="2" width="48" style="26" customWidth="1"/>
    <col min="3" max="3" width="34.7109375" style="26" customWidth="1"/>
    <col min="4" max="4" width="75.28515625" style="26" customWidth="1"/>
    <col min="5" max="5" width="59.7109375" style="26" customWidth="1"/>
    <col min="6" max="6" width="27.7109375" style="26" customWidth="1"/>
    <col min="7" max="16384" width="8.7109375" style="26"/>
  </cols>
  <sheetData>
    <row r="1" spans="1:7" customFormat="1" ht="43.35" customHeight="1">
      <c r="A1" s="124" t="s">
        <v>71</v>
      </c>
      <c r="B1" s="124"/>
      <c r="C1" s="124"/>
      <c r="D1" s="124"/>
      <c r="E1" s="124"/>
      <c r="F1" s="124"/>
    </row>
    <row r="2" spans="1:7" customFormat="1"/>
    <row r="3" spans="1:7">
      <c r="A3" s="60" t="s">
        <v>72</v>
      </c>
      <c r="B3" s="55" t="s">
        <v>73</v>
      </c>
      <c r="C3" s="60" t="s">
        <v>4</v>
      </c>
      <c r="D3" s="56">
        <v>176</v>
      </c>
      <c r="E3" s="61" t="s">
        <v>74</v>
      </c>
      <c r="F3" s="42" t="str">
        <f>HYPERLINK(INDEX(Input!Q1:U15,MATCH(Series!$B$11,Input!Q1:Q15,0),MATCH($D$7,Input!Q1:U1,0)))</f>
        <v>https://myciscosalesconnect.file.force.com/sfc/dist/version/download/?oid=00D8c000005u363&amp;ids=0688c00000Dbzp6&amp;d=%2Fa%2F8c000000gIUx%2FQfLjO1Zq4Yr8KHWaow7trnvEFMhqgOxgz6rnIeXWZB8&amp;asPdf=false</v>
      </c>
      <c r="G3" s="71" t="s">
        <v>7</v>
      </c>
    </row>
    <row r="4" spans="1:7" customFormat="1"/>
    <row r="5" spans="1:7">
      <c r="A5" s="60" t="s">
        <v>8</v>
      </c>
      <c r="B5" s="94" t="s">
        <v>75</v>
      </c>
      <c r="C5" s="60" t="s">
        <v>9</v>
      </c>
      <c r="D5" s="55" t="s">
        <v>10</v>
      </c>
      <c r="E5" s="61" t="s">
        <v>76</v>
      </c>
      <c r="F5" s="37" t="s">
        <v>77</v>
      </c>
      <c r="G5" t="s">
        <v>3</v>
      </c>
    </row>
    <row r="6" spans="1:7" customFormat="1"/>
    <row r="7" spans="1:7">
      <c r="A7" s="61" t="s">
        <v>78</v>
      </c>
      <c r="B7" s="55"/>
      <c r="C7" s="60" t="s">
        <v>79</v>
      </c>
      <c r="D7" s="57">
        <v>2</v>
      </c>
      <c r="E7" s="61" t="s">
        <v>80</v>
      </c>
      <c r="F7" s="37"/>
      <c r="G7" t="s">
        <v>3</v>
      </c>
    </row>
    <row r="8" spans="1:7" customFormat="1"/>
    <row r="9" spans="1:7">
      <c r="A9" s="61" t="s">
        <v>81</v>
      </c>
      <c r="B9" s="55"/>
      <c r="C9" s="61" t="s">
        <v>17</v>
      </c>
      <c r="D9" s="55" t="s">
        <v>82</v>
      </c>
      <c r="E9" s="60" t="str">
        <f>IF(OR($D$7=2,$D$7=3),"SG Form Link","")</f>
        <v>SG Form Link</v>
      </c>
      <c r="F9" s="37"/>
      <c r="G9" t="s">
        <v>3</v>
      </c>
    </row>
    <row r="10" spans="1:7" customFormat="1"/>
    <row r="11" spans="1:7">
      <c r="A11" s="60" t="s">
        <v>83</v>
      </c>
      <c r="B11" s="54" t="s">
        <v>84</v>
      </c>
      <c r="C11" s="60" t="s">
        <v>85</v>
      </c>
      <c r="D11" s="58">
        <v>46142</v>
      </c>
      <c r="E11" s="60" t="s">
        <v>86</v>
      </c>
      <c r="F11" s="38" t="s">
        <v>21</v>
      </c>
      <c r="G11"/>
    </row>
    <row r="12" spans="1:7" customFormat="1" ht="15" thickBot="1">
      <c r="A12" s="59"/>
      <c r="B12" s="59"/>
      <c r="C12" s="59"/>
      <c r="D12" s="59"/>
      <c r="E12" s="59"/>
      <c r="F12" s="59"/>
    </row>
    <row r="13" spans="1:7" customFormat="1"/>
    <row r="14" spans="1:7" customFormat="1" ht="20.100000000000001" customHeight="1">
      <c r="A14" s="62" t="s">
        <v>87</v>
      </c>
      <c r="B14" s="62" t="s">
        <v>88</v>
      </c>
      <c r="C14" s="63" t="s">
        <v>89</v>
      </c>
      <c r="D14" s="63" t="s">
        <v>90</v>
      </c>
      <c r="E14" s="64" t="s">
        <v>91</v>
      </c>
      <c r="F14" s="119" t="s">
        <v>92</v>
      </c>
    </row>
    <row r="15" spans="1:7" ht="27.6" customHeight="1">
      <c r="A15" s="46" t="s">
        <v>93</v>
      </c>
      <c r="B15" s="65" t="s">
        <v>94</v>
      </c>
      <c r="C15" s="65" t="s">
        <v>95</v>
      </c>
      <c r="D15" s="50" t="s">
        <v>96</v>
      </c>
      <c r="E15" s="51" t="s">
        <v>3</v>
      </c>
    </row>
    <row r="16" spans="1:7" s="29" customFormat="1" ht="25.35" customHeight="1">
      <c r="A16" s="29">
        <v>1</v>
      </c>
      <c r="B16" s="29" t="s">
        <v>97</v>
      </c>
      <c r="C16" s="53" t="s">
        <v>98</v>
      </c>
      <c r="D16" s="120" t="s">
        <v>99</v>
      </c>
      <c r="E16" s="30">
        <v>58</v>
      </c>
      <c r="F16" t="s">
        <v>3</v>
      </c>
    </row>
    <row r="17" spans="1:6" ht="25.35" customHeight="1">
      <c r="A17" s="29"/>
      <c r="B17" s="29"/>
      <c r="C17" s="30"/>
      <c r="D17" s="121"/>
      <c r="E17" s="30"/>
      <c r="F17" t="s">
        <v>3</v>
      </c>
    </row>
    <row r="18" spans="1:6" ht="25.35" customHeight="1">
      <c r="A18" s="29" t="s">
        <v>100</v>
      </c>
      <c r="B18" s="29" t="s">
        <v>101</v>
      </c>
      <c r="C18" s="30" t="s">
        <v>95</v>
      </c>
      <c r="D18" s="30"/>
      <c r="E18" s="30"/>
      <c r="F18"/>
    </row>
    <row r="19" spans="1:6" ht="25.35" customHeight="1">
      <c r="A19" s="29">
        <v>1</v>
      </c>
      <c r="B19" s="29" t="s">
        <v>102</v>
      </c>
      <c r="C19" s="30" t="s">
        <v>103</v>
      </c>
      <c r="D19" s="122" t="s">
        <v>104</v>
      </c>
      <c r="E19" s="30">
        <v>10</v>
      </c>
      <c r="F19"/>
    </row>
    <row r="20" spans="1:6" ht="25.35" customHeight="1">
      <c r="A20" s="29"/>
      <c r="B20" s="29"/>
      <c r="C20" s="30"/>
      <c r="D20" s="30"/>
      <c r="E20" s="30"/>
      <c r="F20"/>
    </row>
    <row r="21" spans="1:6" ht="25.35" customHeight="1">
      <c r="A21" s="29" t="s">
        <v>105</v>
      </c>
      <c r="B21" s="29" t="s">
        <v>106</v>
      </c>
      <c r="C21" s="30" t="s">
        <v>95</v>
      </c>
      <c r="D21" s="122"/>
      <c r="E21" s="30"/>
      <c r="F21"/>
    </row>
    <row r="22" spans="1:6" ht="25.35" customHeight="1">
      <c r="A22" s="29">
        <v>1</v>
      </c>
      <c r="B22" s="29" t="s">
        <v>102</v>
      </c>
      <c r="C22" s="30" t="s">
        <v>107</v>
      </c>
      <c r="D22" s="122" t="s">
        <v>108</v>
      </c>
      <c r="E22" s="30">
        <v>10</v>
      </c>
      <c r="F22"/>
    </row>
    <row r="23" spans="1:6" ht="25.35" customHeight="1">
      <c r="A23" s="29">
        <v>2</v>
      </c>
      <c r="B23" s="29" t="s">
        <v>97</v>
      </c>
      <c r="C23" s="30" t="s">
        <v>109</v>
      </c>
      <c r="D23" s="122" t="s">
        <v>110</v>
      </c>
      <c r="E23" s="30">
        <v>6</v>
      </c>
      <c r="F23"/>
    </row>
    <row r="24" spans="1:6" ht="25.35" customHeight="1">
      <c r="A24" s="29"/>
      <c r="B24" s="29"/>
      <c r="C24" s="30"/>
      <c r="D24" s="122"/>
      <c r="E24" s="30"/>
      <c r="F24"/>
    </row>
    <row r="25" spans="1:6" ht="25.35" customHeight="1">
      <c r="A25" s="29" t="s">
        <v>111</v>
      </c>
      <c r="B25" s="29" t="s">
        <v>112</v>
      </c>
      <c r="C25" s="30" t="s">
        <v>95</v>
      </c>
      <c r="D25" s="121"/>
      <c r="E25" s="30"/>
      <c r="F25" t="s">
        <v>3</v>
      </c>
    </row>
    <row r="26" spans="1:6" ht="25.35" customHeight="1">
      <c r="A26" s="29">
        <v>1</v>
      </c>
      <c r="B26" s="29" t="s">
        <v>97</v>
      </c>
      <c r="C26" s="30" t="s">
        <v>113</v>
      </c>
      <c r="D26" s="121" t="s">
        <v>114</v>
      </c>
      <c r="E26" s="30">
        <v>10</v>
      </c>
      <c r="F26"/>
    </row>
    <row r="27" spans="1:6" ht="25.35" customHeight="1">
      <c r="A27" s="29"/>
      <c r="B27" s="29"/>
      <c r="C27" s="30"/>
      <c r="D27" s="30"/>
      <c r="E27" s="30"/>
      <c r="F27" t="s">
        <v>3</v>
      </c>
    </row>
    <row r="28" spans="1:6" ht="25.35" customHeight="1">
      <c r="A28" s="29" t="s">
        <v>115</v>
      </c>
      <c r="B28" s="29" t="s">
        <v>116</v>
      </c>
      <c r="C28" s="30" t="s">
        <v>95</v>
      </c>
      <c r="D28" s="122"/>
      <c r="E28" s="30"/>
      <c r="F28" t="s">
        <v>3</v>
      </c>
    </row>
    <row r="29" spans="1:6" ht="25.35" customHeight="1">
      <c r="A29" s="29">
        <v>1</v>
      </c>
      <c r="B29" s="29" t="s">
        <v>97</v>
      </c>
      <c r="C29" s="30" t="s">
        <v>117</v>
      </c>
      <c r="D29" s="122" t="s">
        <v>118</v>
      </c>
      <c r="E29" s="30">
        <v>15</v>
      </c>
      <c r="F29" t="s">
        <v>3</v>
      </c>
    </row>
    <row r="30" spans="1:6" ht="25.35" customHeight="1">
      <c r="A30" s="29">
        <v>2</v>
      </c>
      <c r="B30" s="29" t="s">
        <v>97</v>
      </c>
      <c r="C30" s="30" t="s">
        <v>119</v>
      </c>
      <c r="D30" s="122" t="s">
        <v>118</v>
      </c>
      <c r="E30" s="30">
        <v>22</v>
      </c>
      <c r="F30" t="s">
        <v>3</v>
      </c>
    </row>
    <row r="31" spans="1:6" ht="27.6" customHeight="1">
      <c r="A31" s="29">
        <v>3</v>
      </c>
      <c r="B31" s="29" t="s">
        <v>97</v>
      </c>
      <c r="C31" s="30" t="s">
        <v>120</v>
      </c>
      <c r="D31" s="122" t="s">
        <v>118</v>
      </c>
      <c r="E31" s="30">
        <v>15</v>
      </c>
      <c r="F31" s="26" t="s">
        <v>3</v>
      </c>
    </row>
    <row r="32" spans="1:6" ht="25.35" customHeight="1">
      <c r="A32" s="29">
        <v>4</v>
      </c>
      <c r="B32" s="29" t="s">
        <v>97</v>
      </c>
      <c r="C32" s="77" t="s">
        <v>121</v>
      </c>
      <c r="D32" s="122" t="s">
        <v>118</v>
      </c>
      <c r="E32" s="30">
        <v>20</v>
      </c>
      <c r="F32"/>
    </row>
    <row r="33" spans="1:17" ht="25.35" customHeight="1">
      <c r="A33" s="29"/>
      <c r="B33" s="29"/>
      <c r="C33" s="30"/>
      <c r="D33" s="122"/>
      <c r="E33" s="30"/>
      <c r="F33"/>
    </row>
    <row r="34" spans="1:17" ht="25.35" customHeight="1">
      <c r="A34" s="29" t="s">
        <v>122</v>
      </c>
      <c r="B34" s="29" t="s">
        <v>123</v>
      </c>
      <c r="C34" s="30" t="s">
        <v>95</v>
      </c>
      <c r="D34" s="122"/>
      <c r="E34" s="30"/>
      <c r="F34" t="s">
        <v>3</v>
      </c>
    </row>
    <row r="35" spans="1:17" ht="25.35" customHeight="1">
      <c r="A35" s="29">
        <v>1</v>
      </c>
      <c r="B35" s="29" t="s">
        <v>124</v>
      </c>
      <c r="C35" s="30" t="s">
        <v>125</v>
      </c>
      <c r="D35" s="122" t="s">
        <v>126</v>
      </c>
      <c r="E35" s="30">
        <v>10</v>
      </c>
      <c r="F35" t="s">
        <v>3</v>
      </c>
    </row>
    <row r="36" spans="1:17" ht="27.6" customHeight="1">
      <c r="A36" s="29"/>
      <c r="B36" s="29"/>
      <c r="C36" s="30"/>
      <c r="D36" s="30"/>
      <c r="E36" s="30"/>
      <c r="F36" s="26" t="s">
        <v>3</v>
      </c>
    </row>
    <row r="37" spans="1:17" ht="25.35" customHeight="1">
      <c r="A37" s="29"/>
      <c r="B37" s="29"/>
      <c r="C37" s="30"/>
      <c r="D37" s="30"/>
      <c r="E37" s="30"/>
      <c r="F37" t="s">
        <v>3</v>
      </c>
    </row>
    <row r="38" spans="1:17" ht="25.35" customHeight="1">
      <c r="A38" s="29"/>
      <c r="B38" s="29"/>
      <c r="C38" s="30"/>
      <c r="D38" s="122"/>
      <c r="E38" s="30"/>
      <c r="F38" s="29"/>
      <c r="G38" s="29"/>
      <c r="H38" s="125"/>
      <c r="I38" s="125"/>
      <c r="J38" s="125"/>
      <c r="K38" s="125"/>
      <c r="L38" s="125"/>
      <c r="M38" s="125"/>
      <c r="N38" s="125"/>
      <c r="O38" s="125"/>
      <c r="P38" s="125"/>
      <c r="Q38" t="s">
        <v>3</v>
      </c>
    </row>
    <row r="39" spans="1:17" ht="25.35" customHeight="1">
      <c r="A39" s="29"/>
      <c r="B39" s="29"/>
      <c r="C39" s="30"/>
      <c r="D39" s="122"/>
      <c r="E39" s="30"/>
      <c r="F39" t="s">
        <v>3</v>
      </c>
    </row>
    <row r="40" spans="1:17" ht="25.35" customHeight="1">
      <c r="A40" s="29"/>
      <c r="B40" s="29"/>
      <c r="C40" s="30"/>
      <c r="D40" s="122"/>
      <c r="E40" s="30"/>
      <c r="F40" t="s">
        <v>3</v>
      </c>
    </row>
    <row r="41" spans="1:17" ht="25.35" customHeight="1">
      <c r="A41" s="29"/>
      <c r="B41" s="29"/>
      <c r="C41" s="30"/>
      <c r="D41" s="30"/>
      <c r="E41" s="30"/>
      <c r="F41" t="s">
        <v>3</v>
      </c>
    </row>
    <row r="42" spans="1:17" ht="25.35" customHeight="1">
      <c r="A42" s="29"/>
      <c r="B42" s="29"/>
      <c r="C42" s="30"/>
      <c r="D42" s="30"/>
      <c r="E42" s="30"/>
      <c r="F42" t="s">
        <v>3</v>
      </c>
    </row>
    <row r="43" spans="1:17" ht="25.35" customHeight="1">
      <c r="A43" s="29"/>
      <c r="B43" s="29"/>
      <c r="C43" s="30"/>
      <c r="D43" s="122"/>
      <c r="E43" s="30"/>
      <c r="F43" t="s">
        <v>3</v>
      </c>
    </row>
    <row r="44" spans="1:17" ht="25.35" customHeight="1">
      <c r="A44" s="29"/>
      <c r="B44" s="29"/>
      <c r="C44" s="30"/>
      <c r="D44" s="30"/>
      <c r="E44" s="30"/>
      <c r="F44" t="s">
        <v>3</v>
      </c>
    </row>
    <row r="45" spans="1:17" ht="25.35" customHeight="1">
      <c r="A45" s="29"/>
      <c r="B45" s="29"/>
      <c r="C45" s="30"/>
      <c r="D45" s="30"/>
      <c r="E45" s="30"/>
      <c r="F45" t="s">
        <v>3</v>
      </c>
    </row>
    <row r="46" spans="1:17" ht="25.35" customHeight="1">
      <c r="A46" s="29"/>
      <c r="B46" s="29"/>
      <c r="C46" s="30"/>
      <c r="D46" s="30"/>
      <c r="E46" s="30"/>
      <c r="F46" t="s">
        <v>3</v>
      </c>
    </row>
    <row r="47" spans="1:17" ht="25.35" customHeight="1">
      <c r="A47" s="29"/>
      <c r="B47" s="29"/>
      <c r="C47" s="30"/>
      <c r="D47" s="30"/>
      <c r="E47" s="30"/>
      <c r="F47" t="s">
        <v>3</v>
      </c>
    </row>
    <row r="48" spans="1:17" ht="25.35" customHeight="1">
      <c r="A48" s="29"/>
      <c r="B48" s="29"/>
      <c r="C48" s="30"/>
      <c r="D48" s="30"/>
      <c r="E48" s="30"/>
      <c r="F48" t="s">
        <v>3</v>
      </c>
    </row>
    <row r="49" spans="1:6" ht="25.35" customHeight="1">
      <c r="A49" s="29"/>
      <c r="B49" s="29"/>
      <c r="C49" s="30"/>
      <c r="D49" s="30"/>
      <c r="E49" s="30"/>
      <c r="F49" t="s">
        <v>3</v>
      </c>
    </row>
    <row r="50" spans="1:6" ht="25.35" customHeight="1">
      <c r="A50" s="29"/>
      <c r="B50" s="29"/>
      <c r="C50" s="30"/>
      <c r="D50" s="30"/>
      <c r="E50" s="30"/>
      <c r="F50" t="s">
        <v>3</v>
      </c>
    </row>
    <row r="51" spans="1:6" ht="25.35" customHeight="1">
      <c r="A51" s="29"/>
      <c r="B51" s="29"/>
      <c r="C51" s="30"/>
      <c r="D51" s="30"/>
      <c r="E51" s="30"/>
      <c r="F51" t="s">
        <v>3</v>
      </c>
    </row>
    <row r="52" spans="1:6" ht="25.35" customHeight="1">
      <c r="A52" s="29"/>
      <c r="B52" s="29"/>
      <c r="C52" s="30"/>
      <c r="D52" s="30"/>
      <c r="E52" s="30"/>
      <c r="F52" t="s">
        <v>3</v>
      </c>
    </row>
    <row r="53" spans="1:6" ht="25.35" customHeight="1">
      <c r="A53" s="29"/>
      <c r="B53" s="29"/>
      <c r="C53" s="30"/>
      <c r="D53" s="30"/>
      <c r="E53" s="30"/>
      <c r="F53" t="s">
        <v>3</v>
      </c>
    </row>
    <row r="54" spans="1:6" ht="25.35" customHeight="1">
      <c r="A54" s="29"/>
      <c r="B54" s="29"/>
      <c r="C54" s="30"/>
      <c r="D54" s="30"/>
      <c r="E54" s="30"/>
      <c r="F54" t="s">
        <v>3</v>
      </c>
    </row>
    <row r="55" spans="1:6" ht="25.35" customHeight="1">
      <c r="A55" s="29"/>
      <c r="B55" s="29"/>
      <c r="C55" s="30"/>
      <c r="D55" s="30"/>
      <c r="E55" s="30"/>
      <c r="F55" t="s">
        <v>3</v>
      </c>
    </row>
    <row r="56" spans="1:6" ht="25.35" customHeight="1">
      <c r="A56" s="29"/>
      <c r="B56" s="29"/>
      <c r="C56" s="30"/>
      <c r="D56" s="30"/>
      <c r="E56" s="30"/>
      <c r="F56" t="s">
        <v>3</v>
      </c>
    </row>
    <row r="57" spans="1:6" ht="25.35" customHeight="1">
      <c r="A57" s="29"/>
      <c r="B57" s="29"/>
      <c r="C57" s="30"/>
      <c r="D57" s="30"/>
      <c r="E57" s="30"/>
      <c r="F57" t="s">
        <v>3</v>
      </c>
    </row>
    <row r="58" spans="1:6" ht="25.35" customHeight="1">
      <c r="A58" s="29"/>
      <c r="B58" s="29"/>
      <c r="C58" s="30"/>
      <c r="D58" s="30"/>
      <c r="E58" s="30"/>
      <c r="F58" t="s">
        <v>3</v>
      </c>
    </row>
    <row r="59" spans="1:6" ht="25.35" customHeight="1">
      <c r="A59" s="29"/>
      <c r="B59" s="29"/>
      <c r="C59" s="30"/>
      <c r="D59" s="30"/>
      <c r="E59" s="30"/>
      <c r="F59" t="s">
        <v>3</v>
      </c>
    </row>
    <row r="60" spans="1:6" ht="25.35" customHeight="1">
      <c r="A60" s="29"/>
      <c r="B60" s="29"/>
      <c r="C60" s="30"/>
      <c r="D60" s="30"/>
      <c r="E60" s="30"/>
      <c r="F60" t="s">
        <v>3</v>
      </c>
    </row>
    <row r="61" spans="1:6" ht="25.35" customHeight="1">
      <c r="A61" s="29"/>
      <c r="B61" s="29"/>
      <c r="C61" s="30"/>
      <c r="D61" s="30"/>
      <c r="E61" s="30"/>
      <c r="F61" t="s">
        <v>3</v>
      </c>
    </row>
    <row r="62" spans="1:6" ht="25.35" customHeight="1">
      <c r="A62" s="29"/>
      <c r="B62" s="29"/>
      <c r="C62" s="30"/>
      <c r="D62" s="30"/>
      <c r="E62" s="30"/>
      <c r="F62" t="s">
        <v>3</v>
      </c>
    </row>
    <row r="63" spans="1:6" ht="25.35" customHeight="1">
      <c r="A63" s="29"/>
      <c r="B63" s="29"/>
      <c r="C63" s="30"/>
      <c r="D63" s="30"/>
      <c r="E63" s="30"/>
      <c r="F63" t="s">
        <v>3</v>
      </c>
    </row>
    <row r="64" spans="1:6" ht="25.35" customHeight="1">
      <c r="A64" s="29"/>
      <c r="B64" s="29"/>
      <c r="C64" s="30"/>
      <c r="D64" s="30"/>
      <c r="E64" s="30"/>
      <c r="F64" t="s">
        <v>3</v>
      </c>
    </row>
    <row r="65" spans="1:6" ht="25.35" customHeight="1">
      <c r="A65" s="29"/>
      <c r="B65" s="29"/>
      <c r="C65" s="30"/>
      <c r="D65" s="30"/>
      <c r="E65" s="30"/>
      <c r="F65" t="s">
        <v>3</v>
      </c>
    </row>
    <row r="66" spans="1:6" ht="25.35" customHeight="1">
      <c r="A66" s="29"/>
      <c r="B66" s="29"/>
      <c r="C66" s="30"/>
      <c r="D66" s="30"/>
      <c r="E66" s="30"/>
      <c r="F66" t="s">
        <v>3</v>
      </c>
    </row>
    <row r="67" spans="1:6" ht="25.35" customHeight="1">
      <c r="A67" s="29"/>
      <c r="B67" s="29"/>
      <c r="C67" s="30"/>
      <c r="D67" s="30"/>
      <c r="E67" s="30"/>
      <c r="F67" t="s">
        <v>3</v>
      </c>
    </row>
    <row r="68" spans="1:6" ht="25.35" customHeight="1">
      <c r="A68" s="29"/>
      <c r="B68" s="29"/>
      <c r="C68" s="30"/>
      <c r="D68" s="30"/>
      <c r="E68" s="30"/>
      <c r="F68" t="s">
        <v>3</v>
      </c>
    </row>
    <row r="69" spans="1:6" ht="25.35" customHeight="1">
      <c r="A69" s="29"/>
      <c r="B69" s="29"/>
      <c r="C69" s="30"/>
      <c r="D69" s="30"/>
      <c r="E69" s="30"/>
      <c r="F69" t="s">
        <v>3</v>
      </c>
    </row>
    <row r="70" spans="1:6" ht="25.35" customHeight="1">
      <c r="A70" s="29"/>
      <c r="B70" s="29"/>
      <c r="C70" s="30"/>
      <c r="D70" s="30"/>
      <c r="E70" s="30"/>
      <c r="F70" t="s">
        <v>3</v>
      </c>
    </row>
    <row r="71" spans="1:6" ht="25.35" customHeight="1">
      <c r="A71" s="29"/>
      <c r="B71" s="29"/>
      <c r="C71" s="30"/>
      <c r="D71" s="30"/>
      <c r="E71" s="30"/>
      <c r="F71" t="s">
        <v>3</v>
      </c>
    </row>
    <row r="72" spans="1:6" ht="25.35" customHeight="1">
      <c r="A72" s="29"/>
      <c r="B72" s="29"/>
      <c r="C72" s="30"/>
      <c r="D72" s="30"/>
      <c r="E72" s="30"/>
      <c r="F72" t="s">
        <v>3</v>
      </c>
    </row>
    <row r="73" spans="1:6" ht="25.35" customHeight="1">
      <c r="A73" s="29"/>
      <c r="B73" s="29"/>
      <c r="C73" s="30"/>
      <c r="D73" s="30"/>
      <c r="E73" s="30"/>
      <c r="F73" t="s">
        <v>3</v>
      </c>
    </row>
    <row r="74" spans="1:6" ht="25.35" customHeight="1">
      <c r="A74" s="29"/>
      <c r="B74" s="29"/>
      <c r="C74" s="30"/>
      <c r="D74" s="30"/>
      <c r="E74" s="30"/>
      <c r="F74" t="s">
        <v>3</v>
      </c>
    </row>
    <row r="75" spans="1:6" ht="25.35" customHeight="1">
      <c r="A75" s="29"/>
      <c r="B75" s="29"/>
      <c r="C75" s="30"/>
      <c r="D75" s="30"/>
      <c r="E75" s="30"/>
      <c r="F75" t="s">
        <v>3</v>
      </c>
    </row>
    <row r="76" spans="1:6" ht="25.35" customHeight="1">
      <c r="A76" s="29"/>
      <c r="B76" s="29"/>
      <c r="C76" s="30"/>
      <c r="D76" s="30"/>
      <c r="E76" s="30"/>
      <c r="F76" t="s">
        <v>3</v>
      </c>
    </row>
    <row r="77" spans="1:6" ht="25.35" customHeight="1">
      <c r="A77" s="29"/>
      <c r="B77" s="29"/>
      <c r="C77" s="30"/>
      <c r="D77" s="30"/>
      <c r="E77" s="30"/>
      <c r="F77" t="s">
        <v>3</v>
      </c>
    </row>
    <row r="78" spans="1:6" ht="25.35" customHeight="1">
      <c r="A78" s="29"/>
      <c r="B78" s="29"/>
      <c r="C78" s="30"/>
      <c r="D78" s="30"/>
      <c r="E78" s="30"/>
      <c r="F78" t="s">
        <v>3</v>
      </c>
    </row>
    <row r="79" spans="1:6" ht="25.35" customHeight="1">
      <c r="A79" s="29"/>
      <c r="B79" s="29"/>
      <c r="C79" s="30"/>
      <c r="D79" s="30"/>
      <c r="E79" s="30"/>
      <c r="F79" t="s">
        <v>3</v>
      </c>
    </row>
    <row r="80" spans="1:6" ht="25.35" customHeight="1">
      <c r="A80" s="29"/>
      <c r="B80" s="29"/>
      <c r="C80" s="30"/>
      <c r="D80" s="30"/>
      <c r="E80" s="30"/>
      <c r="F80" t="s">
        <v>3</v>
      </c>
    </row>
    <row r="81" spans="1:6" ht="25.35" customHeight="1">
      <c r="A81" s="29"/>
      <c r="B81" s="29"/>
      <c r="C81" s="30"/>
      <c r="D81" s="30"/>
      <c r="E81" s="30"/>
      <c r="F81" t="s">
        <v>3</v>
      </c>
    </row>
    <row r="82" spans="1:6" ht="25.35" customHeight="1">
      <c r="A82" s="29"/>
      <c r="B82" s="29"/>
      <c r="C82" s="30"/>
      <c r="D82" s="30"/>
      <c r="E82" s="30"/>
      <c r="F82" t="s">
        <v>3</v>
      </c>
    </row>
    <row r="83" spans="1:6" ht="25.35" customHeight="1">
      <c r="A83" s="29"/>
      <c r="B83" s="29"/>
      <c r="C83" s="30"/>
      <c r="D83" s="30"/>
      <c r="E83" s="30"/>
      <c r="F83" t="s">
        <v>3</v>
      </c>
    </row>
    <row r="84" spans="1:6" ht="25.35" customHeight="1">
      <c r="A84" s="29"/>
      <c r="B84" s="29"/>
      <c r="C84" s="30"/>
      <c r="D84" s="30"/>
      <c r="E84" s="30"/>
      <c r="F84" t="s">
        <v>3</v>
      </c>
    </row>
    <row r="85" spans="1:6" ht="25.35" customHeight="1">
      <c r="A85" s="29"/>
      <c r="B85" s="29"/>
      <c r="C85" s="30"/>
      <c r="D85" s="30"/>
      <c r="E85" s="30"/>
      <c r="F85" t="s">
        <v>3</v>
      </c>
    </row>
    <row r="86" spans="1:6" ht="25.35" customHeight="1">
      <c r="A86" s="29"/>
      <c r="B86" s="29"/>
      <c r="C86" s="30"/>
      <c r="D86" s="30"/>
      <c r="E86" s="30"/>
      <c r="F86" t="s">
        <v>3</v>
      </c>
    </row>
    <row r="87" spans="1:6" ht="25.35" customHeight="1">
      <c r="A87" s="29"/>
      <c r="B87" s="29"/>
      <c r="C87" s="30"/>
      <c r="D87" s="30"/>
      <c r="E87" s="30"/>
      <c r="F87" t="s">
        <v>3</v>
      </c>
    </row>
    <row r="88" spans="1:6" ht="25.35" customHeight="1">
      <c r="A88" s="29"/>
      <c r="B88" s="29"/>
      <c r="C88" s="30"/>
      <c r="D88" s="30"/>
      <c r="E88" s="30"/>
      <c r="F88" t="s">
        <v>3</v>
      </c>
    </row>
    <row r="89" spans="1:6" ht="25.35" customHeight="1">
      <c r="A89" s="29"/>
      <c r="B89" s="29"/>
      <c r="C89" s="30"/>
      <c r="D89" s="30"/>
      <c r="E89" s="30"/>
      <c r="F89" t="s">
        <v>3</v>
      </c>
    </row>
    <row r="90" spans="1:6" ht="25.35" customHeight="1">
      <c r="A90" s="29"/>
      <c r="B90" s="29"/>
      <c r="C90" s="30"/>
      <c r="D90" s="30"/>
      <c r="E90" s="30"/>
      <c r="F90" t="s">
        <v>3</v>
      </c>
    </row>
    <row r="91" spans="1:6" ht="25.35" customHeight="1">
      <c r="A91" s="29"/>
      <c r="B91" s="29"/>
      <c r="C91" s="30"/>
      <c r="D91" s="30"/>
      <c r="E91" s="30"/>
      <c r="F91" t="s">
        <v>3</v>
      </c>
    </row>
    <row r="92" spans="1:6" ht="25.35" customHeight="1">
      <c r="A92" s="29"/>
      <c r="B92" s="29"/>
      <c r="C92" s="30"/>
      <c r="D92" s="30"/>
      <c r="E92" s="30"/>
      <c r="F92" t="s">
        <v>3</v>
      </c>
    </row>
    <row r="93" spans="1:6" ht="25.35" customHeight="1">
      <c r="A93" s="29"/>
      <c r="B93" s="29"/>
      <c r="C93" s="30"/>
      <c r="D93" s="30"/>
      <c r="E93" s="30"/>
      <c r="F93" t="s">
        <v>3</v>
      </c>
    </row>
    <row r="94" spans="1:6" ht="25.35" customHeight="1">
      <c r="A94" s="29"/>
      <c r="B94" s="29"/>
      <c r="C94" s="30"/>
      <c r="D94" s="30"/>
      <c r="E94" s="30"/>
      <c r="F94" t="s">
        <v>3</v>
      </c>
    </row>
    <row r="95" spans="1:6" ht="25.35" customHeight="1">
      <c r="A95" s="29"/>
      <c r="B95" s="29"/>
      <c r="C95" s="30"/>
      <c r="D95" s="30"/>
      <c r="E95" s="30"/>
      <c r="F95" t="s">
        <v>3</v>
      </c>
    </row>
    <row r="96" spans="1:6" ht="25.35" customHeight="1">
      <c r="A96" s="29"/>
      <c r="B96" s="29"/>
      <c r="C96" s="30"/>
      <c r="D96" s="30"/>
      <c r="E96" s="30"/>
      <c r="F96" t="s">
        <v>3</v>
      </c>
    </row>
    <row r="97" spans="1:6" ht="25.35" customHeight="1">
      <c r="A97" s="29"/>
      <c r="B97" s="29"/>
      <c r="C97" s="30"/>
      <c r="D97" s="30"/>
      <c r="E97" s="30"/>
      <c r="F97" t="s">
        <v>3</v>
      </c>
    </row>
    <row r="98" spans="1:6" ht="25.35" customHeight="1">
      <c r="A98" s="29"/>
      <c r="B98" s="29"/>
      <c r="C98" s="30"/>
      <c r="D98" s="30"/>
      <c r="E98" s="30"/>
      <c r="F98" t="s">
        <v>3</v>
      </c>
    </row>
    <row r="99" spans="1:6" ht="25.35" customHeight="1">
      <c r="A99" s="29"/>
      <c r="B99" s="29"/>
      <c r="C99" s="30"/>
      <c r="D99" s="30"/>
      <c r="E99" s="30"/>
      <c r="F99" t="s">
        <v>3</v>
      </c>
    </row>
    <row r="100" spans="1:6">
      <c r="A100" s="29"/>
      <c r="B100" s="29"/>
      <c r="C100" s="30"/>
      <c r="D100" s="30"/>
      <c r="E100" s="30"/>
    </row>
    <row r="101" spans="1:6">
      <c r="A101" s="29"/>
      <c r="B101" s="29"/>
      <c r="C101" s="30"/>
      <c r="D101" s="30"/>
      <c r="E101" s="30"/>
    </row>
    <row r="102" spans="1:6">
      <c r="A102" s="29"/>
      <c r="B102" s="29"/>
      <c r="C102" s="30"/>
      <c r="D102" s="30"/>
      <c r="E102" s="30"/>
    </row>
    <row r="103" spans="1:6">
      <c r="A103" s="29"/>
      <c r="B103" s="29"/>
      <c r="C103" s="30"/>
      <c r="D103" s="30"/>
      <c r="E103" s="30"/>
    </row>
    <row r="104" spans="1:6">
      <c r="A104" s="29"/>
      <c r="B104" s="29"/>
      <c r="C104" s="30"/>
      <c r="D104" s="30"/>
      <c r="E104" s="30"/>
    </row>
    <row r="105" spans="1:6">
      <c r="A105" s="29"/>
      <c r="B105" s="29"/>
      <c r="C105" s="30"/>
      <c r="D105" s="30"/>
      <c r="E105" s="30"/>
    </row>
    <row r="106" spans="1:6">
      <c r="A106" s="29"/>
      <c r="B106" s="29"/>
      <c r="C106" s="30"/>
      <c r="D106" s="30"/>
      <c r="E106" s="30"/>
    </row>
    <row r="107" spans="1:6">
      <c r="A107" s="29"/>
      <c r="B107" s="29"/>
      <c r="C107" s="30"/>
      <c r="D107" s="30"/>
      <c r="E107" s="30"/>
    </row>
    <row r="108" spans="1:6">
      <c r="A108" s="29"/>
      <c r="B108" s="29"/>
      <c r="C108" s="30"/>
      <c r="D108" s="30"/>
      <c r="E108" s="30"/>
    </row>
    <row r="109" spans="1:6">
      <c r="A109" s="29"/>
      <c r="B109" s="29"/>
      <c r="C109" s="30"/>
      <c r="D109" s="30"/>
      <c r="E109" s="30"/>
    </row>
    <row r="110" spans="1:6">
      <c r="A110" s="29"/>
      <c r="B110" s="29"/>
      <c r="C110" s="30"/>
      <c r="D110" s="30"/>
      <c r="E110" s="30"/>
    </row>
    <row r="111" spans="1:6">
      <c r="A111" s="29"/>
      <c r="B111" s="29"/>
      <c r="C111" s="30"/>
      <c r="D111" s="30"/>
      <c r="E111" s="30"/>
    </row>
    <row r="112" spans="1:6">
      <c r="A112" s="29"/>
      <c r="B112" s="29"/>
      <c r="C112" s="30"/>
      <c r="D112" s="30"/>
      <c r="E112" s="30"/>
    </row>
    <row r="113" spans="1:5">
      <c r="A113" s="29"/>
      <c r="B113" s="29"/>
      <c r="C113" s="30"/>
      <c r="D113" s="30"/>
      <c r="E113" s="30"/>
    </row>
    <row r="114" spans="1:5">
      <c r="A114" s="29"/>
      <c r="B114" s="29"/>
      <c r="C114" s="30"/>
      <c r="D114" s="30"/>
      <c r="E114" s="30"/>
    </row>
    <row r="115" spans="1:5">
      <c r="A115" s="29"/>
      <c r="B115" s="29"/>
      <c r="C115" s="30"/>
      <c r="D115" s="30"/>
      <c r="E115" s="30"/>
    </row>
    <row r="116" spans="1:5">
      <c r="A116" s="29"/>
      <c r="B116" s="29"/>
      <c r="C116" s="30"/>
      <c r="D116" s="30"/>
      <c r="E116" s="30"/>
    </row>
    <row r="117" spans="1:5">
      <c r="A117" s="29"/>
      <c r="B117" s="29"/>
      <c r="C117" s="30"/>
      <c r="D117" s="30"/>
      <c r="E117" s="30"/>
    </row>
    <row r="118" spans="1:5">
      <c r="A118" s="29"/>
      <c r="B118" s="29"/>
      <c r="C118" s="30"/>
      <c r="D118" s="30"/>
      <c r="E118" s="30"/>
    </row>
    <row r="119" spans="1:5">
      <c r="A119" s="29"/>
      <c r="B119" s="29"/>
      <c r="C119" s="30"/>
      <c r="D119" s="30"/>
      <c r="E119" s="30"/>
    </row>
    <row r="120" spans="1:5">
      <c r="A120" s="29"/>
      <c r="B120" s="29"/>
      <c r="C120" s="30"/>
      <c r="D120" s="30"/>
      <c r="E120" s="30"/>
    </row>
    <row r="121" spans="1:5">
      <c r="A121" s="29"/>
      <c r="B121" s="29"/>
      <c r="C121" s="30"/>
      <c r="D121" s="30"/>
      <c r="E121" s="30"/>
    </row>
    <row r="122" spans="1:5">
      <c r="A122" s="29"/>
      <c r="B122" s="29"/>
      <c r="C122" s="30"/>
      <c r="D122" s="30"/>
      <c r="E122" s="30"/>
    </row>
    <row r="123" spans="1:5">
      <c r="A123" s="29"/>
      <c r="B123" s="29"/>
      <c r="C123" s="30"/>
      <c r="D123" s="30"/>
      <c r="E123" s="30"/>
    </row>
    <row r="124" spans="1:5">
      <c r="A124" s="29"/>
      <c r="B124" s="29"/>
      <c r="C124" s="30"/>
      <c r="D124" s="30"/>
      <c r="E124" s="30"/>
    </row>
    <row r="125" spans="1:5">
      <c r="A125" s="29"/>
      <c r="B125" s="29"/>
      <c r="C125" s="30"/>
      <c r="D125" s="30"/>
      <c r="E125" s="30"/>
    </row>
    <row r="126" spans="1:5">
      <c r="A126" s="29"/>
      <c r="B126" s="29"/>
      <c r="C126" s="30"/>
      <c r="D126" s="30"/>
      <c r="E126" s="30"/>
    </row>
    <row r="127" spans="1:5">
      <c r="A127" s="29"/>
      <c r="B127" s="29"/>
      <c r="C127" s="30"/>
      <c r="D127" s="30"/>
      <c r="E127" s="30"/>
    </row>
    <row r="128" spans="1:5">
      <c r="A128" s="29"/>
      <c r="B128" s="29"/>
      <c r="C128" s="30"/>
      <c r="D128" s="30"/>
      <c r="E128" s="30"/>
    </row>
    <row r="129" spans="1:5">
      <c r="A129" s="29"/>
      <c r="B129" s="29"/>
      <c r="C129" s="30"/>
      <c r="D129" s="30"/>
      <c r="E129" s="30"/>
    </row>
    <row r="130" spans="1:5">
      <c r="A130" s="29"/>
      <c r="B130" s="29"/>
      <c r="C130" s="30"/>
      <c r="D130" s="30"/>
      <c r="E130" s="30"/>
    </row>
    <row r="131" spans="1:5">
      <c r="A131" s="29"/>
      <c r="B131" s="29"/>
      <c r="C131" s="30"/>
      <c r="D131" s="30"/>
      <c r="E131" s="30"/>
    </row>
    <row r="132" spans="1:5">
      <c r="A132" s="29"/>
      <c r="B132" s="29"/>
      <c r="C132" s="30"/>
      <c r="D132" s="30"/>
      <c r="E132" s="30"/>
    </row>
    <row r="133" spans="1:5">
      <c r="A133" s="29"/>
      <c r="B133" s="29"/>
      <c r="C133" s="30"/>
      <c r="D133" s="30"/>
      <c r="E133" s="30"/>
    </row>
    <row r="134" spans="1:5">
      <c r="A134" s="29"/>
      <c r="B134" s="29"/>
      <c r="C134" s="30"/>
      <c r="D134" s="30"/>
      <c r="E134" s="30"/>
    </row>
    <row r="135" spans="1:5">
      <c r="A135" s="29"/>
      <c r="B135" s="29"/>
      <c r="C135" s="30"/>
      <c r="D135" s="30"/>
      <c r="E135" s="30"/>
    </row>
    <row r="136" spans="1:5">
      <c r="A136" s="29"/>
      <c r="B136" s="29"/>
      <c r="C136" s="30"/>
      <c r="D136" s="30"/>
      <c r="E136" s="30"/>
    </row>
    <row r="137" spans="1:5">
      <c r="A137" s="29"/>
      <c r="B137" s="29"/>
      <c r="C137" s="30"/>
      <c r="D137" s="30"/>
      <c r="E137" s="30"/>
    </row>
    <row r="138" spans="1:5">
      <c r="A138" s="29"/>
      <c r="B138" s="29"/>
      <c r="C138" s="30"/>
      <c r="D138" s="30"/>
      <c r="E138" s="30"/>
    </row>
    <row r="139" spans="1:5">
      <c r="A139" s="29"/>
      <c r="B139" s="29"/>
      <c r="C139" s="30"/>
      <c r="D139" s="30"/>
      <c r="E139" s="30"/>
    </row>
    <row r="140" spans="1:5">
      <c r="A140" s="29"/>
      <c r="B140" s="29"/>
      <c r="C140" s="30"/>
      <c r="D140" s="30"/>
      <c r="E140" s="30"/>
    </row>
    <row r="141" spans="1:5">
      <c r="A141" s="29"/>
      <c r="B141" s="29"/>
      <c r="C141" s="30"/>
      <c r="D141" s="30"/>
      <c r="E141" s="30"/>
    </row>
    <row r="142" spans="1:5">
      <c r="A142" s="29"/>
      <c r="B142" s="29"/>
      <c r="C142" s="30"/>
      <c r="D142" s="30"/>
      <c r="E142" s="30"/>
    </row>
    <row r="143" spans="1:5">
      <c r="A143" s="29"/>
      <c r="B143" s="29"/>
      <c r="C143" s="30"/>
      <c r="D143" s="30"/>
      <c r="E143" s="30"/>
    </row>
    <row r="144" spans="1:5">
      <c r="A144" s="29"/>
      <c r="B144" s="29"/>
      <c r="C144" s="30"/>
      <c r="D144" s="30"/>
      <c r="E144" s="30"/>
    </row>
    <row r="145" spans="1:5">
      <c r="A145" s="29"/>
      <c r="B145" s="29"/>
      <c r="C145" s="30"/>
      <c r="D145" s="30"/>
      <c r="E145" s="30"/>
    </row>
    <row r="146" spans="1:5">
      <c r="A146" s="29"/>
      <c r="B146" s="29"/>
      <c r="C146" s="30"/>
      <c r="D146" s="30"/>
      <c r="E146" s="30"/>
    </row>
    <row r="147" spans="1:5">
      <c r="A147" s="29"/>
      <c r="B147" s="29"/>
      <c r="C147" s="30"/>
      <c r="D147" s="30"/>
      <c r="E147" s="30"/>
    </row>
    <row r="148" spans="1:5">
      <c r="A148" s="29"/>
      <c r="B148" s="29"/>
      <c r="C148" s="30"/>
      <c r="D148" s="30"/>
      <c r="E148" s="30"/>
    </row>
    <row r="149" spans="1:5">
      <c r="A149" s="29"/>
      <c r="B149" s="29"/>
      <c r="C149" s="30"/>
      <c r="D149" s="30"/>
      <c r="E149" s="30"/>
    </row>
    <row r="150" spans="1:5">
      <c r="A150" s="29"/>
      <c r="B150" s="29"/>
      <c r="C150" s="30"/>
      <c r="D150" s="30"/>
      <c r="E150" s="30"/>
    </row>
    <row r="151" spans="1:5">
      <c r="A151" s="29"/>
      <c r="B151" s="29"/>
      <c r="C151" s="30"/>
      <c r="D151" s="30"/>
      <c r="E151" s="30"/>
    </row>
    <row r="152" spans="1:5">
      <c r="A152" s="29"/>
      <c r="B152" s="29"/>
      <c r="C152" s="30"/>
      <c r="D152" s="30"/>
      <c r="E152" s="30"/>
    </row>
    <row r="153" spans="1:5">
      <c r="A153" s="29"/>
      <c r="B153" s="29"/>
      <c r="C153" s="30"/>
      <c r="D153" s="30"/>
      <c r="E153" s="30"/>
    </row>
    <row r="154" spans="1:5">
      <c r="A154" s="29"/>
      <c r="B154" s="29"/>
      <c r="C154" s="30"/>
      <c r="D154" s="30"/>
      <c r="E154" s="30"/>
    </row>
    <row r="155" spans="1:5">
      <c r="A155" s="29"/>
      <c r="B155" s="29"/>
      <c r="C155" s="30"/>
      <c r="D155" s="30"/>
      <c r="E155" s="30"/>
    </row>
    <row r="156" spans="1:5">
      <c r="A156" s="29"/>
      <c r="B156" s="29"/>
      <c r="C156" s="30"/>
      <c r="D156" s="30"/>
      <c r="E156" s="30"/>
    </row>
    <row r="157" spans="1:5">
      <c r="A157" s="29"/>
      <c r="B157" s="29"/>
      <c r="C157" s="30"/>
      <c r="D157" s="30"/>
      <c r="E157" s="30"/>
    </row>
    <row r="158" spans="1:5">
      <c r="A158" s="29"/>
      <c r="B158" s="29"/>
      <c r="C158" s="30"/>
      <c r="D158" s="30"/>
      <c r="E158" s="30"/>
    </row>
    <row r="159" spans="1:5">
      <c r="A159" s="29"/>
      <c r="B159" s="29"/>
      <c r="C159" s="30"/>
      <c r="D159" s="30"/>
      <c r="E159" s="30"/>
    </row>
    <row r="160" spans="1:5">
      <c r="A160" s="29"/>
      <c r="B160" s="29"/>
      <c r="C160" s="30"/>
      <c r="D160" s="30"/>
      <c r="E160" s="30"/>
    </row>
    <row r="161" spans="1:5">
      <c r="A161" s="29"/>
      <c r="B161" s="29"/>
      <c r="C161" s="30"/>
      <c r="D161" s="30"/>
      <c r="E161" s="30"/>
    </row>
    <row r="162" spans="1:5">
      <c r="A162" s="29"/>
      <c r="B162" s="29"/>
      <c r="C162" s="30"/>
      <c r="D162" s="30"/>
      <c r="E162" s="30"/>
    </row>
    <row r="163" spans="1:5">
      <c r="A163" s="29"/>
      <c r="B163" s="29"/>
      <c r="C163" s="30"/>
      <c r="D163" s="30"/>
      <c r="E163" s="30"/>
    </row>
    <row r="164" spans="1:5">
      <c r="A164" s="29"/>
      <c r="B164" s="29"/>
      <c r="C164" s="30"/>
      <c r="D164" s="30"/>
      <c r="E164" s="30"/>
    </row>
    <row r="165" spans="1:5">
      <c r="A165" s="29"/>
      <c r="B165" s="29"/>
      <c r="C165" s="30"/>
      <c r="D165" s="30"/>
      <c r="E165" s="30"/>
    </row>
    <row r="166" spans="1:5">
      <c r="A166" s="29"/>
      <c r="B166" s="29"/>
      <c r="C166" s="30"/>
      <c r="D166" s="30"/>
      <c r="E166" s="30"/>
    </row>
    <row r="167" spans="1:5">
      <c r="A167" s="29"/>
      <c r="B167" s="29"/>
      <c r="C167" s="30"/>
      <c r="D167" s="30"/>
      <c r="E167" s="30"/>
    </row>
    <row r="168" spans="1:5">
      <c r="A168" s="29"/>
      <c r="B168" s="29"/>
      <c r="C168" s="30"/>
      <c r="D168" s="30"/>
      <c r="E168" s="30"/>
    </row>
    <row r="169" spans="1:5">
      <c r="A169" s="29"/>
      <c r="B169" s="29"/>
      <c r="C169" s="30"/>
      <c r="D169" s="30"/>
      <c r="E169" s="30"/>
    </row>
    <row r="170" spans="1:5">
      <c r="A170" s="29"/>
      <c r="B170" s="29"/>
      <c r="C170" s="30"/>
      <c r="D170" s="30"/>
      <c r="E170" s="30"/>
    </row>
    <row r="171" spans="1:5">
      <c r="A171" s="29"/>
      <c r="B171" s="29"/>
      <c r="C171" s="30"/>
      <c r="D171" s="30"/>
      <c r="E171" s="30"/>
    </row>
    <row r="172" spans="1:5">
      <c r="A172" s="29"/>
      <c r="B172" s="29"/>
      <c r="C172" s="30"/>
      <c r="D172" s="30"/>
      <c r="E172" s="30"/>
    </row>
    <row r="173" spans="1:5">
      <c r="A173" s="29"/>
      <c r="B173" s="29"/>
      <c r="C173" s="30"/>
      <c r="D173" s="30"/>
      <c r="E173" s="30"/>
    </row>
    <row r="174" spans="1:5">
      <c r="A174" s="29"/>
      <c r="B174" s="29"/>
      <c r="C174" s="30"/>
      <c r="D174" s="30"/>
      <c r="E174" s="30"/>
    </row>
    <row r="175" spans="1:5">
      <c r="A175" s="29"/>
      <c r="B175" s="29"/>
      <c r="C175" s="30"/>
      <c r="D175" s="30"/>
      <c r="E175" s="30"/>
    </row>
    <row r="176" spans="1:5">
      <c r="A176" s="29"/>
      <c r="B176" s="29"/>
      <c r="C176" s="30"/>
      <c r="D176" s="30"/>
      <c r="E176" s="30"/>
    </row>
    <row r="177" spans="1:5">
      <c r="A177" s="29"/>
      <c r="B177" s="29"/>
      <c r="C177" s="30"/>
      <c r="D177" s="30"/>
      <c r="E177" s="30"/>
    </row>
    <row r="178" spans="1:5">
      <c r="A178" s="29"/>
      <c r="B178" s="29"/>
      <c r="C178" s="30"/>
      <c r="D178" s="30"/>
      <c r="E178" s="30"/>
    </row>
    <row r="179" spans="1:5">
      <c r="A179" s="29"/>
      <c r="B179" s="29"/>
      <c r="C179" s="30"/>
      <c r="D179" s="30"/>
      <c r="E179" s="30"/>
    </row>
    <row r="180" spans="1:5">
      <c r="A180" s="29"/>
      <c r="B180" s="29"/>
      <c r="C180" s="30"/>
      <c r="D180" s="30"/>
      <c r="E180" s="30"/>
    </row>
    <row r="181" spans="1:5">
      <c r="A181" s="29"/>
      <c r="B181" s="29"/>
      <c r="C181" s="30"/>
      <c r="D181" s="30"/>
      <c r="E181" s="30"/>
    </row>
    <row r="182" spans="1:5">
      <c r="A182" s="29"/>
      <c r="B182" s="29"/>
      <c r="C182" s="30"/>
      <c r="D182" s="30"/>
      <c r="E182" s="30"/>
    </row>
    <row r="183" spans="1:5">
      <c r="A183" s="29"/>
      <c r="B183" s="29"/>
      <c r="C183" s="30"/>
      <c r="D183" s="30"/>
      <c r="E183" s="30"/>
    </row>
    <row r="184" spans="1:5">
      <c r="A184" s="29"/>
      <c r="B184" s="29"/>
      <c r="C184" s="30"/>
      <c r="D184" s="30"/>
      <c r="E184" s="30"/>
    </row>
    <row r="185" spans="1:5">
      <c r="A185" s="29"/>
      <c r="B185" s="29"/>
      <c r="C185" s="30"/>
      <c r="D185" s="30"/>
      <c r="E185" s="30"/>
    </row>
    <row r="186" spans="1:5">
      <c r="A186" s="29"/>
      <c r="B186" s="29"/>
      <c r="C186" s="30"/>
      <c r="D186" s="30"/>
      <c r="E186" s="30"/>
    </row>
    <row r="187" spans="1:5">
      <c r="A187" s="29"/>
      <c r="B187" s="29"/>
      <c r="C187" s="30"/>
      <c r="D187" s="30"/>
      <c r="E187" s="30"/>
    </row>
    <row r="188" spans="1:5">
      <c r="A188" s="29"/>
      <c r="B188" s="29"/>
      <c r="C188" s="30"/>
      <c r="D188" s="30"/>
      <c r="E188" s="30"/>
    </row>
    <row r="189" spans="1:5">
      <c r="A189" s="29"/>
      <c r="B189" s="29"/>
      <c r="C189" s="30"/>
      <c r="D189" s="30"/>
      <c r="E189" s="30"/>
    </row>
    <row r="190" spans="1:5">
      <c r="A190" s="29"/>
      <c r="B190" s="29"/>
      <c r="C190" s="30"/>
      <c r="D190" s="30"/>
      <c r="E190" s="30"/>
    </row>
    <row r="191" spans="1:5">
      <c r="A191" s="29"/>
      <c r="B191" s="29"/>
      <c r="C191" s="30"/>
      <c r="D191" s="30"/>
      <c r="E191" s="30"/>
    </row>
    <row r="192" spans="1:5">
      <c r="A192" s="29"/>
      <c r="B192" s="29"/>
      <c r="C192" s="30"/>
      <c r="D192" s="30"/>
      <c r="E192" s="30"/>
    </row>
    <row r="193" spans="1:5">
      <c r="A193" s="29"/>
      <c r="B193" s="29"/>
      <c r="C193" s="30"/>
      <c r="D193" s="30"/>
      <c r="E193" s="30"/>
    </row>
    <row r="194" spans="1:5">
      <c r="A194" s="29"/>
      <c r="B194" s="29"/>
      <c r="C194" s="30"/>
      <c r="D194" s="30"/>
      <c r="E194" s="30"/>
    </row>
    <row r="195" spans="1:5">
      <c r="A195" s="29"/>
      <c r="B195" s="29"/>
      <c r="C195" s="30"/>
      <c r="D195" s="30"/>
      <c r="E195" s="30"/>
    </row>
    <row r="196" spans="1:5">
      <c r="A196" s="29"/>
      <c r="B196" s="29"/>
      <c r="C196" s="30"/>
      <c r="D196" s="30"/>
      <c r="E196" s="30"/>
    </row>
    <row r="197" spans="1:5">
      <c r="A197" s="29"/>
      <c r="B197" s="29"/>
      <c r="C197" s="30"/>
      <c r="D197" s="30"/>
      <c r="E197" s="30"/>
    </row>
    <row r="198" spans="1:5">
      <c r="A198" s="29"/>
      <c r="B198" s="29"/>
      <c r="C198" s="30"/>
      <c r="D198" s="30"/>
      <c r="E198" s="30"/>
    </row>
    <row r="199" spans="1:5">
      <c r="A199" s="29"/>
      <c r="B199" s="29"/>
      <c r="C199" s="30"/>
      <c r="D199" s="30"/>
      <c r="E199" s="30"/>
    </row>
    <row r="200" spans="1:5">
      <c r="A200" s="29"/>
      <c r="B200" s="29"/>
      <c r="C200" s="30"/>
      <c r="D200" s="30"/>
      <c r="E200" s="30"/>
    </row>
    <row r="201" spans="1:5">
      <c r="A201" s="29"/>
      <c r="B201" s="29"/>
      <c r="C201" s="30"/>
      <c r="D201" s="30"/>
      <c r="E201" s="30"/>
    </row>
    <row r="1048566" spans="16370:16384" ht="14.1" customHeight="1"/>
    <row r="1048567" spans="16370:16384" ht="14.1" customHeight="1"/>
    <row r="1048568" spans="16370:16384" ht="14.1" customHeight="1"/>
    <row r="1048570" spans="16370:16384">
      <c r="XEP1048570" s="123" t="s">
        <v>49</v>
      </c>
      <c r="XEQ1048570" s="123"/>
      <c r="XER1048570" s="123"/>
      <c r="XES1048570" s="123"/>
      <c r="XET1048570" s="123"/>
      <c r="XEU1048570" s="123"/>
      <c r="XEV1048570" s="123"/>
      <c r="XEW1048570" s="123"/>
      <c r="XEX1048570" s="123"/>
      <c r="XEY1048570" s="123"/>
      <c r="XEZ1048570" s="123"/>
      <c r="XFA1048570" s="123"/>
      <c r="XFB1048570" s="123"/>
      <c r="XFC1048570" s="123"/>
      <c r="XFD1048570" s="123"/>
    </row>
    <row r="1048571" spans="16370:16384">
      <c r="XEP1048571" s="123"/>
      <c r="XEQ1048571" s="123"/>
      <c r="XER1048571" s="123"/>
      <c r="XES1048571" s="123"/>
      <c r="XET1048571" s="123"/>
      <c r="XEU1048571" s="123"/>
      <c r="XEV1048571" s="123"/>
      <c r="XEW1048571" s="123"/>
      <c r="XEX1048571" s="123"/>
      <c r="XEY1048571" s="123"/>
      <c r="XEZ1048571" s="123"/>
      <c r="XFA1048571" s="123"/>
      <c r="XFB1048571" s="123"/>
      <c r="XFC1048571" s="123"/>
      <c r="XFD1048571" s="123"/>
    </row>
    <row r="1048572" spans="16370:16384">
      <c r="XEP1048572" s="123"/>
      <c r="XEQ1048572" s="123"/>
      <c r="XER1048572" s="123"/>
      <c r="XES1048572" s="123"/>
      <c r="XET1048572" s="123"/>
      <c r="XEU1048572" s="123"/>
      <c r="XEV1048572" s="123"/>
      <c r="XEW1048572" s="123"/>
      <c r="XEX1048572" s="123"/>
      <c r="XEY1048572" s="123"/>
      <c r="XEZ1048572" s="123"/>
      <c r="XFA1048572" s="123"/>
      <c r="XFB1048572" s="123"/>
      <c r="XFC1048572" s="123"/>
      <c r="XFD1048572" s="123"/>
    </row>
    <row r="1048573" spans="16370:16384">
      <c r="XEP1048573" s="123"/>
      <c r="XEQ1048573" s="123"/>
      <c r="XER1048573" s="123"/>
      <c r="XES1048573" s="123"/>
      <c r="XET1048573" s="123"/>
      <c r="XEU1048573" s="123"/>
      <c r="XEV1048573" s="123"/>
      <c r="XEW1048573" s="123"/>
      <c r="XEX1048573" s="123"/>
      <c r="XEY1048573" s="123"/>
      <c r="XEZ1048573" s="123"/>
      <c r="XFA1048573" s="123"/>
      <c r="XFB1048573" s="123"/>
      <c r="XFC1048573" s="123"/>
      <c r="XFD1048573" s="123"/>
    </row>
    <row r="1048574" spans="16370:16384">
      <c r="XEP1048574" s="123"/>
      <c r="XEQ1048574" s="123"/>
      <c r="XER1048574" s="123"/>
      <c r="XES1048574" s="123"/>
      <c r="XET1048574" s="123"/>
      <c r="XEU1048574" s="123"/>
      <c r="XEV1048574" s="123"/>
      <c r="XEW1048574" s="123"/>
      <c r="XEX1048574" s="123"/>
      <c r="XEY1048574" s="123"/>
      <c r="XEZ1048574" s="123"/>
      <c r="XFA1048574" s="123"/>
      <c r="XFB1048574" s="123"/>
      <c r="XFC1048574" s="123"/>
      <c r="XFD1048574" s="123"/>
    </row>
    <row r="1048575" spans="16370:16384">
      <c r="XEP1048575" s="123"/>
      <c r="XEQ1048575" s="123"/>
      <c r="XER1048575" s="123"/>
      <c r="XES1048575" s="123"/>
      <c r="XET1048575" s="123"/>
      <c r="XEU1048575" s="123"/>
      <c r="XEV1048575" s="123"/>
      <c r="XEW1048575" s="123"/>
      <c r="XEX1048575" s="123"/>
      <c r="XEY1048575" s="123"/>
      <c r="XEZ1048575" s="123"/>
      <c r="XFA1048575" s="123"/>
      <c r="XFB1048575" s="123"/>
      <c r="XFC1048575" s="123"/>
      <c r="XFD1048575" s="123"/>
    </row>
    <row r="1048576" spans="16370:16384">
      <c r="XEP1048576" s="123"/>
      <c r="XEQ1048576" s="123"/>
      <c r="XER1048576" s="123"/>
      <c r="XES1048576" s="123"/>
      <c r="XET1048576" s="123"/>
      <c r="XEU1048576" s="123"/>
      <c r="XEV1048576" s="123"/>
      <c r="XEW1048576" s="123"/>
      <c r="XEX1048576" s="123"/>
      <c r="XEY1048576" s="123"/>
      <c r="XEZ1048576" s="123"/>
      <c r="XFA1048576" s="123"/>
      <c r="XFB1048576" s="123"/>
      <c r="XFC1048576" s="123"/>
      <c r="XFD1048576" s="123"/>
    </row>
  </sheetData>
  <sheetProtection algorithmName="SHA-512" hashValue="IiBhWRvMQQPKdHje+8LdKhysuwC1OSBzQ1JK10RLTUY4v0yHnq1I8INa/tA+6RF85PnZJvuNpWzDz1QGM+sX8g==" saltValue="U968lrUq1hIm5CKY659sGg==" spinCount="100000" sheet="1" objects="1" scenarios="1" insertRows="0" insertHyperlinks="0"/>
  <mergeCells count="5">
    <mergeCell ref="XEP1048570:XFD1048576"/>
    <mergeCell ref="A1:F1"/>
    <mergeCell ref="O38:P38"/>
    <mergeCell ref="H38:I38"/>
    <mergeCell ref="J38:N38"/>
  </mergeCells>
  <conditionalFormatting sqref="A21:F201 A15:F15 A19:D19 A17:F18 A16:D16 F16 F19">
    <cfRule type="expression" dxfId="45" priority="6">
      <formula>IF(AND(COUNTIF($A15,"*Section*"),$C15="Mandatory"),"True","False")</formula>
    </cfRule>
    <cfRule type="expression" dxfId="44" priority="29">
      <formula>IF(COUNTIF($A15,"*Section*"),"True","False")</formula>
    </cfRule>
  </conditionalFormatting>
  <conditionalFormatting sqref="A21:F201 A17:F18 A19:D19 A16:D16 F16 F19">
    <cfRule type="expression" dxfId="43" priority="40">
      <formula>COUNT($A16)</formula>
    </cfRule>
  </conditionalFormatting>
  <conditionalFormatting sqref="B21:B201 B15:B19">
    <cfRule type="expression" dxfId="42" priority="1">
      <formula>IF(AND(COUNTIF($A15,"*Section*"),ISBLANK($B15)),"True","False")</formula>
    </cfRule>
    <cfRule type="expression" dxfId="41" priority="4">
      <formula>LEN(B15)&gt;100</formula>
    </cfRule>
  </conditionalFormatting>
  <conditionalFormatting sqref="B3:C3">
    <cfRule type="expression" dxfId="40" priority="88">
      <formula>LEN($B$3)&gt;80</formula>
    </cfRule>
  </conditionalFormatting>
  <conditionalFormatting sqref="B5:C5">
    <cfRule type="expression" dxfId="39" priority="87">
      <formula>LEN($B$5)&gt;255</formula>
    </cfRule>
  </conditionalFormatting>
  <conditionalFormatting sqref="C21:C201 C15:C19">
    <cfRule type="expression" dxfId="38" priority="2">
      <formula>IF(AND(COUNTIF($A15,"*Section*"),COUNTA($B15),ISBLANK($C15)),"True","False")</formula>
    </cfRule>
  </conditionalFormatting>
  <conditionalFormatting sqref="C32">
    <cfRule type="expression" dxfId="37" priority="5">
      <formula>LEN(C32)&gt;80</formula>
    </cfRule>
  </conditionalFormatting>
  <conditionalFormatting sqref="F38:P38">
    <cfRule type="expression" dxfId="36" priority="90">
      <formula>COUNT($F38)</formula>
    </cfRule>
  </conditionalFormatting>
  <conditionalFormatting sqref="F20">
    <cfRule type="expression" dxfId="35" priority="104">
      <formula>IF(AND(COUNTIF($A18,"*Section*"),$C18="Mandatory"),"True","False")</formula>
    </cfRule>
    <cfRule type="expression" dxfId="34" priority="105">
      <formula>IF(COUNTIF($A18,"*Section*"),"True","False")</formula>
    </cfRule>
  </conditionalFormatting>
  <conditionalFormatting sqref="F20">
    <cfRule type="expression" dxfId="33" priority="108">
      <formula>COUNT($A18)</formula>
    </cfRule>
  </conditionalFormatting>
  <conditionalFormatting sqref="E16">
    <cfRule type="expression" dxfId="32" priority="111">
      <formula>IF(AND(COUNTIF($A19,"*Section*"),$C19="Mandatory"),"True","False")</formula>
    </cfRule>
    <cfRule type="expression" dxfId="31" priority="112">
      <formula>IF(COUNTIF($A19,"*Section*"),"True","False")</formula>
    </cfRule>
  </conditionalFormatting>
  <conditionalFormatting sqref="E16">
    <cfRule type="expression" dxfId="30" priority="116">
      <formula>COUNT($A19)</formula>
    </cfRule>
  </conditionalFormatting>
  <dataValidations count="4">
    <dataValidation type="textLength" errorStyle="warning" allowBlank="1" showErrorMessage="1" errorTitle="Check Page Name" error="This name appears on top of Questions and beneath Quiz Title and is mandatory. Default remains 'Page 01'." sqref="B9:C9" xr:uid="{1370AF50-8157-446A-93D1-71E843345B3C}">
      <formula1>4</formula1>
      <formula2>80</formula2>
    </dataValidation>
    <dataValidation type="textLength" errorStyle="warning" allowBlank="1" showErrorMessage="1" errorTitle="Check Description" error="Description exceeds the max character limit of 255. Kindly edit." sqref="C5" xr:uid="{BAFD58C6-DA52-4D88-BA77-0EB35F14FA75}">
      <formula1>1</formula1>
      <formula2>255</formula2>
    </dataValidation>
    <dataValidation type="textLength" errorStyle="warning" allowBlank="1" showErrorMessage="1" errorTitle="Check Learning Plan Name" error="Learning Plan name exceeds the max character limit of 80. Kindly edit." sqref="B3:C3" xr:uid="{E3627DB4-7D9C-4F81-9383-099CD263061F}">
      <formula1>0</formula1>
      <formula2>80</formula2>
    </dataValidation>
    <dataValidation type="textLength" errorStyle="warning" allowBlank="1" showInputMessage="1" showErrorMessage="1" errorTitle="Check Quiz Title" error="Quiz Title exceeds the max character limit of 80. Kindly edit." sqref="B4 B6:B8 B10 D3 D11 D9" xr:uid="{234337FA-5551-48E0-AFBB-35D5497A8249}">
      <formula1>0</formula1>
      <formula2>80</formula2>
    </dataValidation>
  </dataValidations>
  <hyperlinks>
    <hyperlink ref="A1:F1" r:id="rId1" display="Appinium Learning Plan Creation Template v1" xr:uid="{52C428AD-6381-4A8D-A54B-31460E926E70}"/>
    <hyperlink ref="D16" r:id="rId2" xr:uid="{4948AD81-BFAA-4089-A628-3BE99C8B6337}"/>
    <hyperlink ref="D19" r:id="rId3" xr:uid="{A5D1CADD-8DA6-45CA-BB18-0B074A575727}"/>
    <hyperlink ref="D22" r:id="rId4" xr:uid="{A61B5B2D-1C31-4DEA-8459-C4DC05D75BE3}"/>
    <hyperlink ref="D23" r:id="rId5" xr:uid="{99586DC5-1DC4-47E3-87AB-A4DC338B45CD}"/>
    <hyperlink ref="D26" r:id="rId6" xr:uid="{F2D7AF91-8F50-4F14-BB73-04D8B68768CD}"/>
    <hyperlink ref="D29" r:id="rId7" xr:uid="{465013D4-06CD-4747-99F9-5AFC689F2EC1}"/>
    <hyperlink ref="D30" r:id="rId8" xr:uid="{98F7F45D-2532-4F5F-AE55-B9309C8B1326}"/>
    <hyperlink ref="D31" r:id="rId9" xr:uid="{5DF011D8-5B38-4D7C-B5B6-88716F0CC380}"/>
    <hyperlink ref="D32" r:id="rId10" xr:uid="{2041F642-C0E9-4B69-BCBF-7D598FE56C96}"/>
    <hyperlink ref="D35" r:id="rId11" xr:uid="{C0D2AC5E-A783-4064-B70C-180F0119AC7D}"/>
  </hyperlinks>
  <pageMargins left="0.7" right="0.7" top="0.75" bottom="0.75" header="0.3" footer="0.3"/>
  <pageSetup orientation="portrait" r:id="rId12"/>
  <headerFooter>
    <oddFooter>&amp;R_x000D_&amp;1#&amp;"Calibri"&amp;8&amp;K000000 Cisco Confidential</oddFooter>
  </headerFooter>
  <tableParts count="1">
    <tablePart r:id="rId13"/>
  </tableParts>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Select from Drop Down" error="No other value other than drop down." xr:uid="{64EA5C08-F943-481A-801C-4B428E518733}">
          <x14:formula1>
            <xm:f>Input!$C$2:$C$4</xm:f>
          </x14:formula1>
          <xm:sqref>F11</xm:sqref>
        </x14:dataValidation>
        <x14:dataValidation type="list" allowBlank="1" showInputMessage="1" showErrorMessage="1" xr:uid="{2D9234F0-3B29-4A46-938A-CE90FF008E26}">
          <x14:formula1>
            <xm:f>Input!$E$2:$E$12</xm:f>
          </x14:formula1>
          <xm:sqref>D5</xm:sqref>
        </x14:dataValidation>
        <x14:dataValidation type="list" allowBlank="1" showInputMessage="1" showErrorMessage="1" xr:uid="{CEF820B0-504A-4D95-B7ED-2778E12C98A9}">
          <x14:formula1>
            <xm:f>Input!$I$2:$I$5</xm:f>
          </x14:formula1>
          <xm:sqref>D7</xm:sqref>
        </x14:dataValidation>
        <x14:dataValidation type="list" errorStyle="warning" allowBlank="1" showInputMessage="1" showErrorMessage="1" errorTitle="Incorrect Input" error="Select value from drop down only." xr:uid="{30F3CFEC-A81B-4509-9DDB-983C2112C2A7}">
          <x14:formula1>
            <xm:f>Input!$O$6:$O$12</xm:f>
          </x14:formula1>
          <xm:sqref>G38</xm:sqref>
        </x14:dataValidation>
        <x14:dataValidation type="list" allowBlank="1" xr:uid="{1B846543-8330-453D-8DAD-FD752347500A}">
          <x14:formula1>
            <xm:f>Input!$O$6:$O$18</xm:f>
          </x14:formula1>
          <xm:sqref>B21:B201 B16:B19</xm:sqref>
        </x14:dataValidation>
        <x14:dataValidation type="list" errorStyle="warning" allowBlank="1" showInputMessage="1" showErrorMessage="1" errorTitle="Incorrect Input" error="Select values only from Drop Down." xr:uid="{0488361C-A486-4DD0-9A9D-64F714A6DB1D}">
          <x14:formula1>
            <xm:f>Input!$K2:$K15</xm:f>
          </x14:formula1>
          <xm:sqref>B11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2EE8-9E5F-4578-A38F-1FB7ED4A9BB2}">
  <sheetPr>
    <tabColor theme="5" tint="0.59999389629810485"/>
  </sheetPr>
  <dimension ref="A1:XFD1048576"/>
  <sheetViews>
    <sheetView showGridLines="0" zoomScaleNormal="100" workbookViewId="0">
      <selection activeCell="C42" sqref="C42"/>
    </sheetView>
  </sheetViews>
  <sheetFormatPr defaultColWidth="8.7109375" defaultRowHeight="14.45"/>
  <cols>
    <col min="1" max="1" width="19" style="26" customWidth="1"/>
    <col min="2" max="2" width="48" style="26" customWidth="1"/>
    <col min="3" max="12" width="33.28515625" style="26" customWidth="1"/>
    <col min="13" max="16384" width="8.7109375" style="26"/>
  </cols>
  <sheetData>
    <row r="1" spans="1:14" customFormat="1" ht="43.35" customHeight="1">
      <c r="A1" s="132" t="s">
        <v>127</v>
      </c>
      <c r="B1" s="132"/>
      <c r="C1" s="132"/>
      <c r="D1" s="132"/>
      <c r="E1" s="132"/>
      <c r="F1" s="132"/>
    </row>
    <row r="2" spans="1:14" customFormat="1"/>
    <row r="3" spans="1:14">
      <c r="A3" s="73" t="s">
        <v>128</v>
      </c>
      <c r="B3" s="66" t="s">
        <v>2</v>
      </c>
      <c r="C3" s="73" t="s">
        <v>129</v>
      </c>
      <c r="D3" s="67">
        <v>0</v>
      </c>
      <c r="E3" s="74" t="s">
        <v>5</v>
      </c>
      <c r="F3" s="68"/>
      <c r="G3" s="71" t="s">
        <v>7</v>
      </c>
    </row>
    <row r="4" spans="1:14" customFormat="1"/>
    <row r="5" spans="1:14">
      <c r="A5" s="73" t="s">
        <v>8</v>
      </c>
      <c r="B5" s="66"/>
      <c r="C5" s="74" t="s">
        <v>76</v>
      </c>
      <c r="D5" s="69"/>
      <c r="E5"/>
      <c r="F5"/>
      <c r="G5" t="s">
        <v>3</v>
      </c>
    </row>
    <row r="6" spans="1:14" customFormat="1"/>
    <row r="7" spans="1:14">
      <c r="A7" s="74" t="s">
        <v>17</v>
      </c>
      <c r="B7" s="66" t="s">
        <v>18</v>
      </c>
      <c r="C7" s="73" t="s">
        <v>20</v>
      </c>
      <c r="D7" s="70" t="s">
        <v>21</v>
      </c>
      <c r="E7"/>
      <c r="F7"/>
      <c r="G7" t="s">
        <v>3</v>
      </c>
    </row>
    <row r="8" spans="1:14" customFormat="1" ht="15" thickBot="1">
      <c r="A8" s="72"/>
      <c r="B8" s="72"/>
      <c r="C8" s="72"/>
      <c r="D8" s="72"/>
      <c r="E8" s="72"/>
      <c r="F8" s="72"/>
    </row>
    <row r="9" spans="1:14" customFormat="1"/>
    <row r="10" spans="1:14" customFormat="1" ht="20.100000000000001" customHeight="1">
      <c r="A10" s="95" t="s">
        <v>130</v>
      </c>
      <c r="B10" s="95" t="s">
        <v>131</v>
      </c>
      <c r="C10" s="96" t="s">
        <v>132</v>
      </c>
      <c r="D10" s="96" t="s">
        <v>133</v>
      </c>
      <c r="E10" s="97" t="s">
        <v>134</v>
      </c>
      <c r="F10" s="97" t="s">
        <v>135</v>
      </c>
      <c r="G10" s="97" t="s">
        <v>136</v>
      </c>
      <c r="H10" s="97" t="s">
        <v>137</v>
      </c>
      <c r="I10" s="97" t="s">
        <v>138</v>
      </c>
      <c r="J10" s="97" t="s">
        <v>139</v>
      </c>
      <c r="K10" s="97" t="s">
        <v>140</v>
      </c>
      <c r="L10" s="97" t="s">
        <v>141</v>
      </c>
    </row>
    <row r="11" spans="1:14" s="29" customFormat="1" ht="25.35" customHeight="1">
      <c r="A11" s="98">
        <f>IF(ISBLANK(Track!$B11),"",ROW()-10)</f>
        <v>1</v>
      </c>
      <c r="B11" s="106" t="s">
        <v>142</v>
      </c>
      <c r="C11" s="30"/>
      <c r="D11" s="30"/>
      <c r="E11" s="30"/>
      <c r="F11" s="30"/>
      <c r="G11" s="30"/>
      <c r="H11" s="30"/>
      <c r="I11" s="30"/>
      <c r="J11" s="30"/>
      <c r="K11" s="30"/>
      <c r="L11" s="30"/>
      <c r="M11" s="30"/>
      <c r="N11" s="30"/>
    </row>
    <row r="12" spans="1:14" ht="25.35" customHeight="1">
      <c r="A12" s="98">
        <f>IF(ISBLANK(Track!$B12),"",ROW()-10)</f>
        <v>2</v>
      </c>
      <c r="B12" s="30" t="s">
        <v>143</v>
      </c>
      <c r="C12" s="30"/>
      <c r="D12" s="30"/>
      <c r="E12" s="30" t="s">
        <v>3</v>
      </c>
      <c r="F12" s="30"/>
      <c r="G12" s="30"/>
      <c r="H12" s="30"/>
      <c r="I12" s="30"/>
      <c r="J12" s="30"/>
      <c r="K12" s="30"/>
      <c r="L12" s="30"/>
      <c r="M12" s="30"/>
      <c r="N12" s="30"/>
    </row>
    <row r="13" spans="1:14" ht="25.35" customHeight="1">
      <c r="A13" s="98">
        <f>IF(ISBLANK(Track!$B13),"",ROW()-10)</f>
        <v>3</v>
      </c>
      <c r="B13" s="30" t="s">
        <v>144</v>
      </c>
      <c r="C13" s="30"/>
      <c r="D13" s="30"/>
      <c r="E13" s="30" t="s">
        <v>3</v>
      </c>
      <c r="F13" s="30"/>
      <c r="G13" s="30"/>
      <c r="H13" s="30"/>
      <c r="I13" s="30"/>
      <c r="J13" s="30"/>
      <c r="K13" s="30"/>
      <c r="L13" s="30"/>
      <c r="M13" s="30"/>
      <c r="N13" s="30"/>
    </row>
    <row r="14" spans="1:14" ht="25.35" customHeight="1">
      <c r="A14" s="98" t="str">
        <f>IF(ISBLANK(Track!$B14),"",ROW()-10)</f>
        <v/>
      </c>
      <c r="B14" s="30"/>
      <c r="C14" s="30"/>
      <c r="D14" s="30"/>
      <c r="E14" s="30"/>
      <c r="F14" s="30"/>
      <c r="G14" s="30"/>
      <c r="H14" s="30"/>
      <c r="I14" s="30"/>
      <c r="J14" s="30"/>
      <c r="K14" s="30"/>
      <c r="L14" s="30"/>
      <c r="M14" s="30"/>
      <c r="N14" s="30"/>
    </row>
    <row r="15" spans="1:14" ht="25.35" customHeight="1">
      <c r="A15" s="98" t="str">
        <f>IF(ISBLANK(Track!$B15),"",ROW()-10)</f>
        <v/>
      </c>
      <c r="B15" s="30"/>
      <c r="C15" s="30"/>
      <c r="D15" s="30"/>
      <c r="E15" s="30" t="s">
        <v>3</v>
      </c>
      <c r="F15" s="30"/>
      <c r="G15" s="30"/>
      <c r="H15" s="30"/>
      <c r="I15" s="30"/>
      <c r="J15" s="30"/>
      <c r="K15" s="30"/>
      <c r="L15" s="30"/>
      <c r="M15" s="30"/>
      <c r="N15" s="30"/>
    </row>
    <row r="16" spans="1:14" ht="25.35" customHeight="1">
      <c r="A16" s="98" t="str">
        <f>IF(ISBLANK(Track!$B16),"",ROW()-10)</f>
        <v/>
      </c>
      <c r="B16" s="30"/>
      <c r="C16" s="30"/>
      <c r="D16" s="30"/>
      <c r="E16" s="30" t="s">
        <v>3</v>
      </c>
      <c r="F16" s="30"/>
      <c r="G16" s="30"/>
      <c r="H16" s="30"/>
      <c r="I16" s="30"/>
      <c r="J16" s="30"/>
      <c r="K16" s="30"/>
      <c r="L16" s="30"/>
      <c r="M16" s="30"/>
      <c r="N16" s="30"/>
    </row>
    <row r="17" spans="1:17" ht="25.35" customHeight="1">
      <c r="A17" s="98" t="str">
        <f>IF(ISBLANK(Track!$B17),"",ROW()-10)</f>
        <v/>
      </c>
      <c r="B17" s="30"/>
      <c r="C17" s="30"/>
      <c r="D17" s="30"/>
      <c r="E17" s="30" t="s">
        <v>3</v>
      </c>
      <c r="F17" s="30"/>
      <c r="G17" s="30"/>
      <c r="H17" s="30"/>
      <c r="I17" s="30"/>
      <c r="J17" s="30"/>
      <c r="K17" s="30"/>
      <c r="L17" s="30"/>
      <c r="M17" s="30"/>
      <c r="N17" s="30"/>
    </row>
    <row r="18" spans="1:17" ht="25.35" customHeight="1">
      <c r="A18" s="98" t="str">
        <f>IF(ISBLANK(Track!$B18),"",ROW()-10)</f>
        <v/>
      </c>
      <c r="B18" s="30"/>
      <c r="C18" s="30"/>
      <c r="D18" s="30"/>
      <c r="E18" s="30" t="s">
        <v>3</v>
      </c>
      <c r="F18" s="30"/>
      <c r="G18" s="30"/>
      <c r="H18" s="30"/>
      <c r="I18" s="30"/>
      <c r="J18" s="30"/>
      <c r="K18" s="30"/>
      <c r="L18" s="30"/>
      <c r="M18" s="30"/>
      <c r="N18" s="30"/>
    </row>
    <row r="19" spans="1:17" ht="27.6" customHeight="1">
      <c r="A19" s="98" t="str">
        <f>IF(ISBLANK(Track!$B19),"",ROW()-10)</f>
        <v/>
      </c>
      <c r="B19" s="30"/>
      <c r="C19" s="30"/>
      <c r="D19" s="30"/>
      <c r="E19" s="30" t="s">
        <v>3</v>
      </c>
      <c r="F19" s="30"/>
      <c r="G19" s="30"/>
      <c r="H19" s="30"/>
      <c r="I19" s="30"/>
      <c r="J19" s="30"/>
      <c r="K19" s="30"/>
      <c r="L19" s="30"/>
      <c r="M19" s="30"/>
      <c r="N19" s="30"/>
    </row>
    <row r="20" spans="1:17" ht="25.35" customHeight="1">
      <c r="A20" s="98" t="str">
        <f>IF(ISBLANK(Track!$B20),"",ROW()-10)</f>
        <v/>
      </c>
      <c r="B20" s="30"/>
      <c r="C20" s="30"/>
      <c r="D20" s="30"/>
      <c r="E20" s="30"/>
      <c r="F20" s="30" t="s">
        <v>3</v>
      </c>
      <c r="G20" s="30"/>
      <c r="H20" s="30"/>
      <c r="I20" s="30"/>
      <c r="J20" s="30"/>
      <c r="K20" s="30"/>
      <c r="L20" s="30"/>
      <c r="M20" s="30"/>
      <c r="N20" s="30"/>
    </row>
    <row r="21" spans="1:17" ht="25.35" customHeight="1">
      <c r="A21" s="98" t="str">
        <f>IF(ISBLANK(Track!$B21),"",ROW()-10)</f>
        <v/>
      </c>
      <c r="B21" s="30"/>
      <c r="C21" s="30"/>
      <c r="D21" s="30"/>
      <c r="E21" s="30"/>
      <c r="F21" s="30" t="s">
        <v>3</v>
      </c>
      <c r="G21" s="30"/>
      <c r="H21" s="30"/>
      <c r="I21" s="30"/>
      <c r="J21" s="30"/>
      <c r="K21" s="30"/>
      <c r="L21" s="30"/>
      <c r="M21" s="30"/>
      <c r="N21" s="30"/>
    </row>
    <row r="22" spans="1:17" ht="25.35" customHeight="1">
      <c r="A22" s="98" t="str">
        <f>IF(ISBLANK(Track!$B22),"",ROW()-10)</f>
        <v/>
      </c>
      <c r="B22" s="30"/>
      <c r="C22" s="30"/>
      <c r="D22" s="30"/>
      <c r="E22" s="30"/>
      <c r="F22" s="30" t="s">
        <v>3</v>
      </c>
      <c r="G22" s="30"/>
      <c r="H22" s="30"/>
      <c r="I22" s="30"/>
      <c r="J22" s="30"/>
      <c r="K22" s="30"/>
      <c r="L22" s="30"/>
      <c r="M22" s="30"/>
      <c r="N22" s="30"/>
    </row>
    <row r="23" spans="1:17" ht="25.35" customHeight="1">
      <c r="A23" s="98" t="str">
        <f>IF(ISBLANK(Track!$B23),"",ROW()-10)</f>
        <v/>
      </c>
      <c r="B23" s="30"/>
      <c r="C23" s="30"/>
      <c r="D23" s="30"/>
      <c r="E23" s="30"/>
      <c r="F23" s="30" t="s">
        <v>3</v>
      </c>
      <c r="G23" s="30"/>
      <c r="H23" s="30"/>
      <c r="I23" s="30"/>
      <c r="J23" s="30"/>
      <c r="K23" s="30"/>
      <c r="L23" s="30"/>
      <c r="M23" s="30"/>
      <c r="N23" s="30"/>
    </row>
    <row r="24" spans="1:17" ht="27.6" customHeight="1">
      <c r="A24" s="98" t="str">
        <f>IF(ISBLANK(Track!$B24),"",ROW()-10)</f>
        <v/>
      </c>
      <c r="B24" s="30"/>
      <c r="C24" s="30"/>
      <c r="D24" s="30"/>
      <c r="E24" s="30"/>
      <c r="F24" s="30" t="s">
        <v>3</v>
      </c>
      <c r="G24" s="30"/>
      <c r="H24" s="30"/>
      <c r="I24" s="30"/>
      <c r="J24" s="30"/>
      <c r="K24" s="30"/>
      <c r="L24" s="30"/>
      <c r="M24" s="30"/>
      <c r="N24" s="30"/>
    </row>
    <row r="25" spans="1:17" ht="25.35" customHeight="1">
      <c r="A25" s="98" t="str">
        <f>IF(ISBLANK(Track!$B25),"",ROW()-10)</f>
        <v/>
      </c>
      <c r="B25" s="30"/>
      <c r="C25" s="30"/>
      <c r="D25" s="30"/>
      <c r="E25" s="30"/>
      <c r="F25" s="30" t="s">
        <v>3</v>
      </c>
      <c r="G25" s="30"/>
      <c r="H25" s="30"/>
      <c r="I25" s="30"/>
      <c r="J25" s="30"/>
      <c r="K25" s="30"/>
      <c r="L25" s="30"/>
      <c r="M25" s="30"/>
      <c r="N25" s="30"/>
    </row>
    <row r="26" spans="1:17" ht="25.35" customHeight="1">
      <c r="A26" s="98" t="str">
        <f>IF(ISBLANK(Track!$B26),"",ROW()-10)</f>
        <v/>
      </c>
      <c r="B26" s="30"/>
      <c r="C26" s="30"/>
      <c r="D26" s="30"/>
      <c r="E26" s="30"/>
      <c r="F26" s="30"/>
      <c r="G26" s="30"/>
      <c r="H26" s="125"/>
      <c r="I26" s="125"/>
      <c r="J26" s="125"/>
      <c r="K26" s="125"/>
      <c r="L26" s="125"/>
      <c r="M26" s="125"/>
      <c r="N26" s="125"/>
      <c r="O26" s="125"/>
      <c r="P26" s="125"/>
      <c r="Q26" t="s">
        <v>3</v>
      </c>
    </row>
    <row r="27" spans="1:17" ht="25.35" customHeight="1">
      <c r="A27" s="98" t="str">
        <f>IF(ISBLANK(Track!$B27),"",ROW()-10)</f>
        <v/>
      </c>
      <c r="B27" s="30"/>
      <c r="C27" s="30"/>
      <c r="D27" s="30"/>
      <c r="E27" s="30"/>
      <c r="F27" s="30" t="s">
        <v>3</v>
      </c>
      <c r="G27" s="30"/>
      <c r="H27" s="30"/>
      <c r="I27" s="30"/>
      <c r="J27" s="30"/>
      <c r="K27" s="30"/>
      <c r="L27" s="30"/>
      <c r="M27" s="30"/>
      <c r="N27" s="30"/>
    </row>
    <row r="28" spans="1:17" ht="25.35" customHeight="1">
      <c r="A28" s="98" t="str">
        <f>IF(ISBLANK(Track!$B28),"",ROW()-10)</f>
        <v/>
      </c>
      <c r="B28" s="30"/>
      <c r="C28" s="30"/>
      <c r="D28" s="30"/>
      <c r="E28" s="30"/>
      <c r="F28" s="30" t="s">
        <v>3</v>
      </c>
      <c r="G28" s="30"/>
      <c r="H28" s="30"/>
      <c r="I28" s="30"/>
      <c r="J28" s="30"/>
      <c r="K28" s="30"/>
      <c r="L28" s="30"/>
      <c r="M28" s="30"/>
      <c r="N28" s="30"/>
    </row>
    <row r="29" spans="1:17" ht="25.35" customHeight="1">
      <c r="A29" s="98" t="str">
        <f>IF(ISBLANK(Track!$B29),"",ROW()-10)</f>
        <v/>
      </c>
      <c r="B29" s="30"/>
      <c r="C29" s="30"/>
      <c r="D29" s="30"/>
      <c r="E29" s="30"/>
      <c r="F29" s="30" t="s">
        <v>3</v>
      </c>
      <c r="G29" s="30"/>
      <c r="H29" s="30"/>
      <c r="I29" s="30"/>
      <c r="J29" s="30"/>
      <c r="K29" s="30"/>
      <c r="L29" s="30"/>
      <c r="M29" s="30"/>
      <c r="N29" s="30"/>
    </row>
    <row r="30" spans="1:17" ht="25.35" customHeight="1">
      <c r="A30" s="98" t="str">
        <f>IF(ISBLANK(Track!$B30),"",ROW()-10)</f>
        <v/>
      </c>
      <c r="B30" s="30"/>
      <c r="C30" s="30"/>
      <c r="D30" s="30"/>
      <c r="E30" s="30"/>
      <c r="F30" s="30" t="s">
        <v>3</v>
      </c>
      <c r="G30" s="30"/>
      <c r="H30" s="30"/>
      <c r="I30" s="30"/>
      <c r="J30" s="30"/>
      <c r="K30" s="30"/>
      <c r="L30" s="30"/>
      <c r="M30" s="30"/>
      <c r="N30" s="30"/>
    </row>
    <row r="31" spans="1:17" ht="25.35" customHeight="1">
      <c r="A31" s="98" t="str">
        <f>IF(ISBLANK(Track!$B31),"",ROW()-10)</f>
        <v/>
      </c>
      <c r="B31" s="30"/>
      <c r="C31" s="30"/>
      <c r="D31" s="30"/>
      <c r="E31" s="30"/>
      <c r="F31" s="30" t="s">
        <v>3</v>
      </c>
      <c r="G31" s="30"/>
      <c r="H31" s="30"/>
      <c r="I31" s="30"/>
      <c r="J31" s="30"/>
      <c r="K31" s="30"/>
      <c r="L31" s="30"/>
      <c r="M31" s="30"/>
      <c r="N31" s="30"/>
    </row>
    <row r="32" spans="1:17" ht="25.35" customHeight="1">
      <c r="A32" s="98" t="str">
        <f>IF(ISBLANK(Track!$B32),"",ROW()-10)</f>
        <v/>
      </c>
      <c r="B32" s="30"/>
      <c r="C32" s="30"/>
      <c r="D32" s="30"/>
      <c r="E32" s="30"/>
      <c r="F32" s="30" t="s">
        <v>3</v>
      </c>
      <c r="G32" s="30"/>
      <c r="H32" s="30"/>
      <c r="I32" s="30"/>
      <c r="J32" s="30"/>
      <c r="K32" s="30"/>
      <c r="L32" s="30"/>
      <c r="M32" s="30"/>
      <c r="N32" s="30"/>
    </row>
    <row r="33" spans="1:14" ht="25.35" customHeight="1">
      <c r="A33" s="98" t="str">
        <f>IF(ISBLANK(Track!$B33),"",ROW()-10)</f>
        <v/>
      </c>
      <c r="B33" s="30"/>
      <c r="C33" s="30"/>
      <c r="D33" s="30"/>
      <c r="E33" s="30"/>
      <c r="F33" s="30" t="s">
        <v>3</v>
      </c>
      <c r="G33" s="30"/>
      <c r="H33" s="30"/>
      <c r="I33" s="30"/>
      <c r="J33" s="30"/>
      <c r="K33" s="30"/>
      <c r="L33" s="30"/>
      <c r="M33" s="30"/>
      <c r="N33" s="30"/>
    </row>
    <row r="34" spans="1:14" ht="25.35" customHeight="1">
      <c r="A34" s="98" t="str">
        <f>IF(ISBLANK(Track!$B34),"",ROW()-10)</f>
        <v/>
      </c>
      <c r="B34" s="30"/>
      <c r="C34" s="30"/>
      <c r="D34" s="30"/>
      <c r="E34" s="30"/>
      <c r="F34" s="30" t="s">
        <v>3</v>
      </c>
      <c r="G34" s="30"/>
      <c r="H34" s="30"/>
      <c r="I34" s="30"/>
      <c r="J34" s="30"/>
      <c r="K34" s="30"/>
      <c r="L34" s="30"/>
      <c r="M34" s="30"/>
      <c r="N34" s="30"/>
    </row>
    <row r="35" spans="1:14" ht="25.35" customHeight="1">
      <c r="A35" s="98" t="str">
        <f>IF(ISBLANK(Track!$B35),"",ROW()-10)</f>
        <v/>
      </c>
      <c r="B35" s="30"/>
      <c r="C35" s="30"/>
      <c r="D35" s="30"/>
      <c r="E35" s="30"/>
      <c r="F35" s="30" t="s">
        <v>3</v>
      </c>
      <c r="G35" s="30"/>
      <c r="H35" s="30"/>
      <c r="I35" s="30"/>
      <c r="J35" s="30"/>
      <c r="K35" s="30"/>
      <c r="L35" s="30"/>
      <c r="M35" s="30"/>
      <c r="N35" s="30"/>
    </row>
    <row r="36" spans="1:14" ht="25.35" customHeight="1">
      <c r="A36" s="98" t="str">
        <f>IF(ISBLANK(Track!$B36),"",ROW()-10)</f>
        <v/>
      </c>
      <c r="B36" s="30"/>
      <c r="C36" s="30"/>
      <c r="D36" s="30"/>
      <c r="E36" s="30"/>
      <c r="F36" s="30" t="s">
        <v>3</v>
      </c>
      <c r="G36" s="30"/>
      <c r="H36" s="30"/>
      <c r="I36" s="30"/>
      <c r="J36" s="30"/>
      <c r="K36" s="30"/>
      <c r="L36" s="30"/>
      <c r="M36" s="30"/>
      <c r="N36" s="30"/>
    </row>
    <row r="37" spans="1:14" ht="25.35" customHeight="1">
      <c r="A37" s="98" t="str">
        <f>IF(ISBLANK(Track!$B37),"",ROW()-10)</f>
        <v/>
      </c>
      <c r="B37" s="30"/>
      <c r="C37" s="30"/>
      <c r="D37" s="30"/>
      <c r="E37" s="30"/>
      <c r="F37" s="30" t="s">
        <v>3</v>
      </c>
      <c r="G37" s="30"/>
      <c r="H37" s="30"/>
      <c r="I37" s="30"/>
      <c r="J37" s="30"/>
      <c r="K37" s="30"/>
      <c r="L37" s="30"/>
      <c r="M37" s="30"/>
      <c r="N37" s="30"/>
    </row>
    <row r="38" spans="1:14" ht="25.35" customHeight="1">
      <c r="A38" s="98" t="str">
        <f>IF(ISBLANK(Track!$B38),"",ROW()-10)</f>
        <v/>
      </c>
      <c r="B38" s="30"/>
      <c r="C38" s="30"/>
      <c r="D38" s="30"/>
      <c r="E38" s="30"/>
      <c r="F38" s="30" t="s">
        <v>3</v>
      </c>
      <c r="G38" s="30"/>
      <c r="H38" s="30"/>
      <c r="I38" s="30"/>
      <c r="J38" s="30"/>
      <c r="K38" s="30"/>
      <c r="L38" s="30"/>
      <c r="M38" s="30"/>
      <c r="N38" s="30"/>
    </row>
    <row r="39" spans="1:14" ht="25.35" customHeight="1">
      <c r="A39" s="98" t="str">
        <f>IF(ISBLANK(Track!$B39),"",ROW()-10)</f>
        <v/>
      </c>
      <c r="B39" s="30"/>
      <c r="C39" s="30"/>
      <c r="D39" s="30"/>
      <c r="E39" s="30"/>
      <c r="F39" s="30" t="s">
        <v>3</v>
      </c>
      <c r="G39" s="30"/>
      <c r="H39" s="30"/>
      <c r="I39" s="30"/>
      <c r="J39" s="30"/>
      <c r="K39" s="30"/>
      <c r="L39" s="30"/>
      <c r="M39" s="30"/>
      <c r="N39" s="30"/>
    </row>
    <row r="40" spans="1:14" ht="25.35" customHeight="1">
      <c r="A40" s="98" t="str">
        <f>IF(ISBLANK(Track!$B40),"",ROW()-10)</f>
        <v/>
      </c>
      <c r="B40" s="30"/>
      <c r="C40" s="30"/>
      <c r="D40" s="30"/>
      <c r="E40" s="30"/>
      <c r="F40" s="30" t="s">
        <v>3</v>
      </c>
      <c r="G40" s="30"/>
      <c r="H40" s="30"/>
      <c r="I40" s="30"/>
      <c r="J40" s="30"/>
      <c r="K40" s="30"/>
      <c r="L40" s="30"/>
      <c r="M40" s="30"/>
      <c r="N40" s="30"/>
    </row>
    <row r="41" spans="1:14" ht="25.35" customHeight="1">
      <c r="A41" s="98" t="str">
        <f>IF(ISBLANK(Track!$B41),"",ROW()-10)</f>
        <v/>
      </c>
      <c r="B41" s="30"/>
      <c r="C41" s="30"/>
      <c r="D41" s="30"/>
      <c r="E41" s="30"/>
      <c r="F41" s="30" t="s">
        <v>3</v>
      </c>
      <c r="G41" s="30"/>
      <c r="H41" s="30"/>
      <c r="I41" s="30"/>
      <c r="J41" s="30"/>
      <c r="K41" s="30"/>
      <c r="L41" s="30"/>
      <c r="M41" s="30"/>
      <c r="N41" s="30"/>
    </row>
    <row r="42" spans="1:14" ht="25.35" customHeight="1">
      <c r="A42" s="98" t="str">
        <f>IF(ISBLANK(Track!$B42),"",ROW()-10)</f>
        <v/>
      </c>
      <c r="B42" s="30"/>
      <c r="C42" s="30"/>
      <c r="D42" s="30"/>
      <c r="E42" s="30"/>
      <c r="F42" s="30" t="s">
        <v>3</v>
      </c>
      <c r="G42" s="30"/>
      <c r="H42" s="30"/>
      <c r="I42" s="30"/>
      <c r="J42" s="30"/>
      <c r="K42" s="30"/>
      <c r="L42" s="30"/>
      <c r="M42" s="30"/>
      <c r="N42" s="30"/>
    </row>
    <row r="43" spans="1:14" ht="25.35" customHeight="1">
      <c r="A43" s="98" t="str">
        <f>IF(ISBLANK(Track!$B43),"",ROW()-10)</f>
        <v/>
      </c>
      <c r="B43" s="30"/>
      <c r="C43" s="30"/>
      <c r="D43" s="30"/>
      <c r="E43" s="30"/>
      <c r="F43" s="30" t="s">
        <v>3</v>
      </c>
      <c r="G43" s="30"/>
      <c r="H43" s="30"/>
      <c r="I43" s="30"/>
      <c r="J43" s="30"/>
      <c r="K43" s="30"/>
      <c r="L43" s="30"/>
      <c r="M43" s="30"/>
      <c r="N43" s="30"/>
    </row>
    <row r="44" spans="1:14" ht="25.35" customHeight="1">
      <c r="A44" s="98" t="str">
        <f>IF(ISBLANK(Track!$B44),"",ROW()-10)</f>
        <v/>
      </c>
      <c r="B44" s="30"/>
      <c r="C44" s="30"/>
      <c r="D44" s="30"/>
      <c r="E44" s="30"/>
      <c r="F44" s="30" t="s">
        <v>3</v>
      </c>
      <c r="G44" s="30"/>
      <c r="H44" s="30"/>
      <c r="I44" s="30"/>
      <c r="J44" s="30"/>
      <c r="K44" s="30"/>
      <c r="L44" s="30"/>
      <c r="M44" s="30"/>
      <c r="N44" s="30"/>
    </row>
    <row r="45" spans="1:14" ht="25.35" customHeight="1">
      <c r="A45" s="98" t="str">
        <f>IF(ISBLANK(Track!$B45),"",ROW()-10)</f>
        <v/>
      </c>
      <c r="B45" s="30"/>
      <c r="C45" s="30"/>
      <c r="D45" s="30"/>
      <c r="E45" s="30"/>
      <c r="F45" s="30" t="s">
        <v>3</v>
      </c>
      <c r="G45" s="30"/>
      <c r="H45" s="30"/>
      <c r="I45" s="30"/>
      <c r="J45" s="30"/>
      <c r="K45" s="30"/>
      <c r="L45" s="30"/>
      <c r="M45" s="30"/>
      <c r="N45" s="30"/>
    </row>
    <row r="46" spans="1:14" ht="25.35" customHeight="1">
      <c r="A46" s="98" t="str">
        <f>IF(ISBLANK(Track!$B46),"",ROW()-10)</f>
        <v/>
      </c>
      <c r="B46" s="30"/>
      <c r="C46" s="30"/>
      <c r="D46" s="30"/>
      <c r="E46" s="30"/>
      <c r="F46" s="30" t="s">
        <v>3</v>
      </c>
      <c r="G46" s="30"/>
      <c r="H46" s="30"/>
      <c r="I46" s="30"/>
      <c r="J46" s="30"/>
      <c r="K46" s="30"/>
      <c r="L46" s="30"/>
      <c r="M46" s="30"/>
      <c r="N46" s="30"/>
    </row>
    <row r="47" spans="1:14" ht="25.35" customHeight="1">
      <c r="A47" s="98" t="str">
        <f>IF(ISBLANK(Track!$B47),"",ROW()-10)</f>
        <v/>
      </c>
      <c r="B47" s="30"/>
      <c r="C47" s="30"/>
      <c r="D47" s="30"/>
      <c r="E47" s="30"/>
      <c r="F47" s="30" t="s">
        <v>3</v>
      </c>
      <c r="G47" s="30"/>
      <c r="H47" s="30"/>
      <c r="I47" s="30"/>
      <c r="J47" s="30"/>
      <c r="K47" s="30"/>
      <c r="L47" s="30"/>
      <c r="M47" s="30"/>
      <c r="N47" s="30"/>
    </row>
    <row r="48" spans="1:14" ht="25.35" customHeight="1">
      <c r="A48" s="98" t="str">
        <f>IF(ISBLANK(Track!$B48),"",ROW()-10)</f>
        <v/>
      </c>
      <c r="B48" s="30"/>
      <c r="C48" s="30"/>
      <c r="D48" s="30"/>
      <c r="E48" s="30"/>
      <c r="F48" s="30" t="s">
        <v>3</v>
      </c>
      <c r="G48" s="30"/>
      <c r="H48" s="30"/>
      <c r="I48" s="30"/>
      <c r="J48" s="30"/>
      <c r="K48" s="30"/>
      <c r="L48" s="30"/>
      <c r="M48" s="30"/>
      <c r="N48" s="30"/>
    </row>
    <row r="49" spans="1:14" ht="25.35" customHeight="1">
      <c r="A49" s="98" t="str">
        <f>IF(ISBLANK(Track!$B49),"",ROW()-10)</f>
        <v/>
      </c>
      <c r="B49" s="30"/>
      <c r="C49" s="30"/>
      <c r="D49" s="30"/>
      <c r="E49" s="30"/>
      <c r="F49" s="30" t="s">
        <v>3</v>
      </c>
      <c r="G49" s="30"/>
      <c r="H49" s="30"/>
      <c r="I49" s="30"/>
      <c r="J49" s="30"/>
      <c r="K49" s="30"/>
      <c r="L49" s="30"/>
      <c r="M49" s="30"/>
      <c r="N49" s="30"/>
    </row>
    <row r="50" spans="1:14" ht="25.35" customHeight="1">
      <c r="A50" s="98" t="str">
        <f>IF(ISBLANK(Track!$B50),"",ROW()-10)</f>
        <v/>
      </c>
      <c r="B50" s="30"/>
      <c r="C50" s="30"/>
      <c r="D50" s="30"/>
      <c r="E50" s="30"/>
      <c r="F50" s="30" t="s">
        <v>3</v>
      </c>
      <c r="G50" s="30"/>
      <c r="H50" s="30"/>
      <c r="I50" s="30"/>
      <c r="J50" s="30"/>
      <c r="K50" s="30"/>
      <c r="L50" s="30"/>
      <c r="M50" s="30"/>
      <c r="N50" s="30"/>
    </row>
    <row r="51" spans="1:14" ht="25.35" customHeight="1">
      <c r="A51" s="29"/>
      <c r="B51" s="29"/>
      <c r="C51" s="52"/>
      <c r="D51" s="30"/>
      <c r="E51" s="30"/>
      <c r="F51" t="s">
        <v>3</v>
      </c>
    </row>
    <row r="52" spans="1:14" ht="25.35" customHeight="1">
      <c r="A52" s="29"/>
      <c r="B52" s="29"/>
      <c r="C52" s="52"/>
      <c r="D52" s="30"/>
      <c r="E52" s="30"/>
      <c r="F52" t="s">
        <v>3</v>
      </c>
    </row>
    <row r="53" spans="1:14" ht="25.35" customHeight="1">
      <c r="A53" s="29"/>
      <c r="B53" s="29"/>
      <c r="C53" s="52"/>
      <c r="D53" s="30"/>
      <c r="E53" s="30"/>
      <c r="F53" t="s">
        <v>3</v>
      </c>
    </row>
    <row r="54" spans="1:14" ht="25.35" customHeight="1">
      <c r="A54" s="29"/>
      <c r="B54" s="29"/>
      <c r="C54" s="52"/>
      <c r="D54" s="30"/>
      <c r="E54" s="30"/>
      <c r="F54" t="s">
        <v>3</v>
      </c>
    </row>
    <row r="55" spans="1:14" ht="25.35" customHeight="1">
      <c r="A55" s="29"/>
      <c r="B55" s="29"/>
      <c r="C55" s="52"/>
      <c r="D55" s="30"/>
      <c r="E55" s="30"/>
      <c r="F55" t="s">
        <v>3</v>
      </c>
    </row>
    <row r="56" spans="1:14" ht="25.35" customHeight="1">
      <c r="A56" s="29"/>
      <c r="B56" s="29"/>
      <c r="C56" s="52"/>
      <c r="D56" s="30"/>
      <c r="E56" s="30"/>
      <c r="F56" t="s">
        <v>3</v>
      </c>
    </row>
    <row r="57" spans="1:14" ht="25.35" customHeight="1">
      <c r="A57" s="29"/>
      <c r="B57" s="29"/>
      <c r="C57" s="52"/>
      <c r="D57" s="30"/>
      <c r="E57" s="30"/>
      <c r="F57" t="s">
        <v>3</v>
      </c>
    </row>
    <row r="58" spans="1:14" ht="25.35" customHeight="1">
      <c r="A58" s="29"/>
      <c r="B58" s="29"/>
      <c r="C58" s="52"/>
      <c r="D58" s="30"/>
      <c r="E58" s="30"/>
      <c r="F58" t="s">
        <v>3</v>
      </c>
    </row>
    <row r="59" spans="1:14" ht="25.35" customHeight="1">
      <c r="A59" s="29"/>
      <c r="B59" s="29"/>
      <c r="C59" s="52"/>
      <c r="D59" s="30"/>
      <c r="E59" s="30"/>
      <c r="F59" t="s">
        <v>3</v>
      </c>
    </row>
    <row r="60" spans="1:14" ht="25.35" customHeight="1">
      <c r="A60" s="29"/>
      <c r="B60" s="29"/>
      <c r="C60" s="52"/>
      <c r="D60" s="30"/>
      <c r="E60" s="30"/>
      <c r="F60" t="s">
        <v>3</v>
      </c>
    </row>
    <row r="61" spans="1:14" ht="25.35" customHeight="1">
      <c r="A61" s="29"/>
      <c r="B61" s="29"/>
      <c r="C61" s="52"/>
      <c r="D61" s="30"/>
      <c r="E61" s="30"/>
      <c r="F61" t="s">
        <v>3</v>
      </c>
    </row>
    <row r="62" spans="1:14" ht="25.35" customHeight="1">
      <c r="A62" s="29"/>
      <c r="B62" s="29"/>
      <c r="C62" s="52"/>
      <c r="D62" s="30"/>
      <c r="E62" s="30"/>
      <c r="F62" t="s">
        <v>3</v>
      </c>
    </row>
    <row r="63" spans="1:14" ht="25.35" customHeight="1">
      <c r="A63" s="29"/>
      <c r="B63" s="29"/>
      <c r="C63" s="52"/>
      <c r="D63" s="30"/>
      <c r="E63" s="30"/>
      <c r="F63" t="s">
        <v>3</v>
      </c>
    </row>
    <row r="64" spans="1:14" ht="25.35" customHeight="1">
      <c r="A64" s="29"/>
      <c r="B64" s="29"/>
      <c r="C64" s="52"/>
      <c r="D64" s="30"/>
      <c r="E64" s="30"/>
      <c r="F64" t="s">
        <v>3</v>
      </c>
    </row>
    <row r="65" spans="1:6" ht="25.35" customHeight="1">
      <c r="A65" s="29"/>
      <c r="B65" s="29"/>
      <c r="C65" s="52"/>
      <c r="D65" s="30"/>
      <c r="E65" s="30"/>
      <c r="F65" t="s">
        <v>3</v>
      </c>
    </row>
    <row r="66" spans="1:6" ht="25.35" customHeight="1">
      <c r="A66" s="29"/>
      <c r="B66" s="29"/>
      <c r="C66" s="52"/>
      <c r="D66" s="30"/>
      <c r="E66" s="30"/>
      <c r="F66" t="s">
        <v>3</v>
      </c>
    </row>
    <row r="67" spans="1:6" ht="25.35" customHeight="1">
      <c r="A67" s="29"/>
      <c r="B67" s="29"/>
      <c r="C67" s="52"/>
      <c r="D67" s="30"/>
      <c r="E67" s="30"/>
      <c r="F67" t="s">
        <v>3</v>
      </c>
    </row>
    <row r="68" spans="1:6" ht="25.35" customHeight="1">
      <c r="A68" s="29"/>
      <c r="B68" s="29"/>
      <c r="C68" s="52"/>
      <c r="D68" s="30"/>
      <c r="E68" s="30"/>
      <c r="F68" t="s">
        <v>3</v>
      </c>
    </row>
    <row r="69" spans="1:6" ht="25.35" customHeight="1">
      <c r="A69" s="29"/>
      <c r="B69" s="29"/>
      <c r="C69" s="52"/>
      <c r="D69" s="30"/>
      <c r="E69" s="30"/>
      <c r="F69" t="s">
        <v>3</v>
      </c>
    </row>
    <row r="70" spans="1:6" ht="25.35" customHeight="1">
      <c r="A70" s="29"/>
      <c r="B70" s="29"/>
      <c r="C70" s="52"/>
      <c r="D70" s="30"/>
      <c r="E70" s="30"/>
      <c r="F70" t="s">
        <v>3</v>
      </c>
    </row>
    <row r="71" spans="1:6" ht="25.35" customHeight="1">
      <c r="A71" s="29"/>
      <c r="B71" s="29"/>
      <c r="C71" s="52"/>
      <c r="D71" s="30"/>
      <c r="E71" s="30"/>
      <c r="F71" t="s">
        <v>3</v>
      </c>
    </row>
    <row r="72" spans="1:6" ht="25.35" customHeight="1">
      <c r="A72" s="29"/>
      <c r="B72" s="29"/>
      <c r="C72" s="52"/>
      <c r="D72" s="30"/>
      <c r="E72" s="30"/>
      <c r="F72" t="s">
        <v>3</v>
      </c>
    </row>
    <row r="73" spans="1:6" ht="25.35" customHeight="1">
      <c r="A73" s="29"/>
      <c r="B73" s="29"/>
      <c r="C73" s="52"/>
      <c r="D73" s="30"/>
      <c r="E73" s="30"/>
      <c r="F73" t="s">
        <v>3</v>
      </c>
    </row>
    <row r="74" spans="1:6" ht="25.35" customHeight="1">
      <c r="A74" s="29"/>
      <c r="B74" s="29"/>
      <c r="C74" s="52"/>
      <c r="D74" s="30"/>
      <c r="E74" s="30"/>
      <c r="F74" t="s">
        <v>3</v>
      </c>
    </row>
    <row r="75" spans="1:6" ht="25.35" customHeight="1">
      <c r="A75" s="29"/>
      <c r="B75" s="29"/>
      <c r="C75" s="52"/>
      <c r="D75" s="30"/>
      <c r="E75" s="30"/>
      <c r="F75" t="s">
        <v>3</v>
      </c>
    </row>
    <row r="76" spans="1:6" ht="25.35" customHeight="1">
      <c r="A76" s="29"/>
      <c r="B76" s="29"/>
      <c r="C76" s="52"/>
      <c r="D76" s="30"/>
      <c r="E76" s="30"/>
      <c r="F76" t="s">
        <v>3</v>
      </c>
    </row>
    <row r="77" spans="1:6" ht="25.35" customHeight="1">
      <c r="A77" s="29"/>
      <c r="B77" s="29"/>
      <c r="C77" s="52"/>
      <c r="D77" s="30"/>
      <c r="E77" s="30"/>
      <c r="F77" t="s">
        <v>3</v>
      </c>
    </row>
    <row r="78" spans="1:6" ht="25.35" customHeight="1">
      <c r="A78" s="29"/>
      <c r="B78" s="29"/>
      <c r="C78" s="52"/>
      <c r="D78" s="30"/>
      <c r="E78" s="30"/>
      <c r="F78" t="s">
        <v>3</v>
      </c>
    </row>
    <row r="79" spans="1:6" ht="25.35" customHeight="1">
      <c r="A79" s="29"/>
      <c r="B79" s="29"/>
      <c r="C79" s="52"/>
      <c r="D79" s="30"/>
      <c r="E79" s="30"/>
      <c r="F79" t="s">
        <v>3</v>
      </c>
    </row>
    <row r="80" spans="1:6" ht="25.35" customHeight="1">
      <c r="A80" s="29"/>
      <c r="B80" s="29"/>
      <c r="C80" s="52"/>
      <c r="D80" s="30"/>
      <c r="E80" s="30"/>
      <c r="F80" t="s">
        <v>3</v>
      </c>
    </row>
    <row r="81" spans="1:6" ht="25.35" customHeight="1">
      <c r="A81" s="29"/>
      <c r="B81" s="29"/>
      <c r="C81" s="52"/>
      <c r="D81" s="30"/>
      <c r="E81" s="30"/>
      <c r="F81" t="s">
        <v>3</v>
      </c>
    </row>
    <row r="82" spans="1:6" ht="25.35" customHeight="1">
      <c r="A82" s="29"/>
      <c r="B82" s="29"/>
      <c r="C82" s="52"/>
      <c r="D82" s="30"/>
      <c r="E82" s="30"/>
      <c r="F82" t="s">
        <v>3</v>
      </c>
    </row>
    <row r="83" spans="1:6" ht="25.35" customHeight="1">
      <c r="A83" s="29"/>
      <c r="B83" s="29"/>
      <c r="C83" s="52"/>
      <c r="D83" s="30"/>
      <c r="E83" s="30"/>
      <c r="F83" t="s">
        <v>3</v>
      </c>
    </row>
    <row r="84" spans="1:6" ht="25.35" customHeight="1">
      <c r="A84" s="29"/>
      <c r="B84" s="29"/>
      <c r="C84" s="52"/>
      <c r="D84" s="30"/>
      <c r="E84" s="30"/>
      <c r="F84" t="s">
        <v>3</v>
      </c>
    </row>
    <row r="85" spans="1:6" ht="25.35" customHeight="1">
      <c r="A85" s="29"/>
      <c r="B85" s="29"/>
      <c r="C85" s="52"/>
      <c r="D85" s="30"/>
      <c r="E85" s="30"/>
      <c r="F85" t="s">
        <v>3</v>
      </c>
    </row>
    <row r="86" spans="1:6" ht="25.35" customHeight="1">
      <c r="A86" s="29"/>
      <c r="B86" s="29"/>
      <c r="C86" s="52"/>
      <c r="D86" s="30"/>
      <c r="E86" s="30"/>
      <c r="F86" t="s">
        <v>3</v>
      </c>
    </row>
    <row r="87" spans="1:6" ht="25.35" customHeight="1">
      <c r="A87" s="29"/>
      <c r="B87" s="29"/>
      <c r="C87" s="52"/>
      <c r="D87" s="30"/>
      <c r="E87" s="30"/>
      <c r="F87" t="s">
        <v>3</v>
      </c>
    </row>
    <row r="88" spans="1:6">
      <c r="A88" s="29"/>
      <c r="B88" s="29"/>
      <c r="C88" s="52"/>
      <c r="D88" s="30"/>
      <c r="E88" s="29"/>
    </row>
    <row r="89" spans="1:6">
      <c r="A89" s="29"/>
      <c r="B89" s="29"/>
      <c r="C89" s="52"/>
      <c r="D89" s="30"/>
      <c r="E89" s="29"/>
    </row>
    <row r="90" spans="1:6">
      <c r="A90" s="29"/>
      <c r="B90" s="29"/>
      <c r="C90" s="52"/>
      <c r="D90" s="30"/>
      <c r="E90" s="29"/>
    </row>
    <row r="91" spans="1:6">
      <c r="A91" s="29"/>
      <c r="B91" s="29"/>
      <c r="C91" s="52"/>
      <c r="D91" s="30"/>
      <c r="E91" s="29"/>
    </row>
    <row r="92" spans="1:6">
      <c r="A92" s="29"/>
      <c r="B92" s="29"/>
      <c r="C92" s="52"/>
      <c r="D92" s="30"/>
      <c r="E92" s="29"/>
    </row>
    <row r="93" spans="1:6">
      <c r="A93" s="29"/>
      <c r="B93" s="29"/>
      <c r="C93" s="52"/>
      <c r="D93" s="30"/>
      <c r="E93" s="29"/>
    </row>
    <row r="94" spans="1:6">
      <c r="A94" s="29"/>
      <c r="B94" s="29"/>
      <c r="C94" s="52"/>
      <c r="D94" s="30"/>
      <c r="E94" s="29"/>
    </row>
    <row r="95" spans="1:6">
      <c r="A95" s="29"/>
      <c r="B95" s="29"/>
      <c r="C95" s="52"/>
      <c r="D95" s="30"/>
      <c r="E95" s="29"/>
    </row>
    <row r="96" spans="1:6">
      <c r="A96" s="29"/>
      <c r="B96" s="29"/>
      <c r="C96" s="52"/>
      <c r="D96" s="30"/>
      <c r="E96" s="29"/>
    </row>
    <row r="97" spans="1:5">
      <c r="A97" s="29"/>
      <c r="B97" s="29"/>
      <c r="C97" s="52"/>
      <c r="D97" s="30"/>
      <c r="E97" s="29"/>
    </row>
    <row r="98" spans="1:5">
      <c r="A98" s="29"/>
      <c r="B98" s="29"/>
      <c r="C98" s="52"/>
      <c r="D98" s="30"/>
      <c r="E98" s="29"/>
    </row>
    <row r="99" spans="1:5">
      <c r="A99" s="29"/>
      <c r="B99" s="29"/>
      <c r="C99" s="52"/>
      <c r="D99" s="30"/>
      <c r="E99" s="29"/>
    </row>
    <row r="100" spans="1:5">
      <c r="A100" s="29"/>
      <c r="B100" s="29"/>
      <c r="C100" s="52"/>
      <c r="D100" s="30"/>
      <c r="E100" s="29"/>
    </row>
    <row r="101" spans="1:5">
      <c r="A101" s="29"/>
      <c r="B101" s="29"/>
      <c r="C101" s="52"/>
      <c r="D101" s="30"/>
      <c r="E101" s="29"/>
    </row>
    <row r="102" spans="1:5">
      <c r="A102" s="29"/>
      <c r="B102" s="29"/>
      <c r="C102" s="52"/>
      <c r="D102" s="30"/>
      <c r="E102" s="29"/>
    </row>
    <row r="103" spans="1:5">
      <c r="A103" s="29"/>
      <c r="B103" s="29"/>
      <c r="C103" s="52"/>
      <c r="D103" s="30"/>
      <c r="E103" s="29"/>
    </row>
    <row r="104" spans="1:5">
      <c r="A104" s="29"/>
      <c r="B104" s="29"/>
      <c r="C104" s="52"/>
      <c r="D104" s="30"/>
      <c r="E104" s="29"/>
    </row>
    <row r="105" spans="1:5">
      <c r="A105" s="29"/>
      <c r="B105" s="29"/>
      <c r="C105" s="52"/>
      <c r="D105" s="30"/>
      <c r="E105" s="29"/>
    </row>
    <row r="106" spans="1:5">
      <c r="A106" s="29"/>
      <c r="B106" s="29"/>
      <c r="C106" s="52"/>
      <c r="D106" s="30"/>
      <c r="E106" s="29"/>
    </row>
    <row r="107" spans="1:5">
      <c r="A107" s="29"/>
      <c r="B107" s="29"/>
      <c r="C107" s="52"/>
      <c r="D107" s="30"/>
      <c r="E107" s="29"/>
    </row>
    <row r="108" spans="1:5">
      <c r="A108" s="29"/>
      <c r="B108" s="29"/>
      <c r="C108" s="52"/>
      <c r="D108" s="30"/>
      <c r="E108" s="29"/>
    </row>
    <row r="109" spans="1:5">
      <c r="A109" s="29"/>
      <c r="B109" s="29"/>
      <c r="C109" s="52"/>
      <c r="D109" s="30"/>
      <c r="E109" s="29"/>
    </row>
    <row r="110" spans="1:5">
      <c r="A110" s="29"/>
      <c r="B110" s="29"/>
      <c r="C110" s="52"/>
      <c r="D110" s="30"/>
      <c r="E110" s="29"/>
    </row>
    <row r="111" spans="1:5">
      <c r="A111" s="29"/>
      <c r="B111" s="29"/>
      <c r="C111" s="52"/>
      <c r="D111" s="30"/>
      <c r="E111" s="29"/>
    </row>
    <row r="112" spans="1:5">
      <c r="A112" s="29"/>
      <c r="B112" s="29"/>
      <c r="C112" s="52"/>
      <c r="D112" s="30"/>
      <c r="E112" s="29"/>
    </row>
    <row r="113" spans="1:5">
      <c r="A113" s="29"/>
      <c r="B113" s="29"/>
      <c r="C113" s="52"/>
      <c r="D113" s="30"/>
      <c r="E113" s="29"/>
    </row>
    <row r="114" spans="1:5">
      <c r="A114" s="29"/>
      <c r="B114" s="29"/>
      <c r="C114" s="52"/>
      <c r="D114" s="30"/>
      <c r="E114" s="29"/>
    </row>
    <row r="115" spans="1:5">
      <c r="A115" s="29"/>
      <c r="B115" s="29"/>
      <c r="C115" s="52"/>
      <c r="D115" s="30"/>
      <c r="E115" s="29"/>
    </row>
    <row r="116" spans="1:5">
      <c r="A116" s="29"/>
      <c r="B116" s="29"/>
      <c r="C116" s="52"/>
      <c r="D116" s="30"/>
      <c r="E116" s="29"/>
    </row>
    <row r="117" spans="1:5">
      <c r="A117" s="29"/>
      <c r="B117" s="29"/>
      <c r="C117" s="52"/>
      <c r="D117" s="30"/>
      <c r="E117" s="29"/>
    </row>
    <row r="118" spans="1:5">
      <c r="A118" s="29"/>
      <c r="B118" s="29"/>
      <c r="C118" s="52"/>
      <c r="D118" s="30"/>
      <c r="E118" s="29"/>
    </row>
    <row r="119" spans="1:5">
      <c r="A119" s="29"/>
      <c r="B119" s="29"/>
      <c r="C119" s="52"/>
      <c r="D119" s="30"/>
      <c r="E119" s="29"/>
    </row>
    <row r="120" spans="1:5">
      <c r="A120" s="29"/>
      <c r="B120" s="29"/>
      <c r="C120" s="52"/>
      <c r="D120" s="30"/>
      <c r="E120" s="29"/>
    </row>
    <row r="121" spans="1:5">
      <c r="A121" s="29"/>
      <c r="B121" s="29"/>
      <c r="C121" s="52"/>
      <c r="D121" s="30"/>
      <c r="E121" s="29"/>
    </row>
    <row r="122" spans="1:5">
      <c r="A122" s="29"/>
      <c r="B122" s="29"/>
      <c r="C122" s="52"/>
      <c r="D122" s="30"/>
      <c r="E122" s="29"/>
    </row>
    <row r="123" spans="1:5">
      <c r="A123" s="29"/>
      <c r="B123" s="29"/>
      <c r="C123" s="52"/>
      <c r="D123" s="30"/>
      <c r="E123" s="29"/>
    </row>
    <row r="124" spans="1:5">
      <c r="A124" s="29"/>
      <c r="B124" s="29"/>
      <c r="C124" s="52"/>
      <c r="D124" s="30"/>
      <c r="E124" s="29"/>
    </row>
    <row r="125" spans="1:5">
      <c r="A125" s="29"/>
      <c r="B125" s="29"/>
      <c r="C125" s="52"/>
      <c r="D125" s="30"/>
      <c r="E125" s="29"/>
    </row>
    <row r="126" spans="1:5">
      <c r="A126" s="29"/>
      <c r="B126" s="29"/>
      <c r="C126" s="52"/>
      <c r="D126" s="30"/>
      <c r="E126" s="29"/>
    </row>
    <row r="127" spans="1:5">
      <c r="A127" s="29"/>
      <c r="B127" s="29"/>
      <c r="C127" s="52"/>
      <c r="D127" s="30"/>
      <c r="E127" s="29"/>
    </row>
    <row r="128" spans="1:5">
      <c r="A128" s="29"/>
      <c r="B128" s="29"/>
      <c r="C128" s="52"/>
      <c r="D128" s="30"/>
      <c r="E128" s="29"/>
    </row>
    <row r="129" spans="1:5">
      <c r="A129" s="29"/>
      <c r="B129" s="29"/>
      <c r="C129" s="52"/>
      <c r="D129" s="30"/>
      <c r="E129" s="29"/>
    </row>
    <row r="130" spans="1:5">
      <c r="A130" s="29"/>
      <c r="B130" s="29"/>
      <c r="C130" s="52"/>
      <c r="D130" s="30"/>
      <c r="E130" s="29"/>
    </row>
    <row r="131" spans="1:5">
      <c r="A131" s="29"/>
      <c r="B131" s="29"/>
      <c r="C131" s="52"/>
      <c r="D131" s="30"/>
      <c r="E131" s="29"/>
    </row>
    <row r="132" spans="1:5">
      <c r="A132" s="29"/>
      <c r="B132" s="29"/>
      <c r="C132" s="52"/>
      <c r="D132" s="30"/>
      <c r="E132" s="29"/>
    </row>
    <row r="133" spans="1:5">
      <c r="A133" s="29"/>
      <c r="B133" s="29"/>
      <c r="C133" s="52"/>
      <c r="D133" s="30"/>
      <c r="E133" s="29"/>
    </row>
    <row r="134" spans="1:5">
      <c r="A134" s="29"/>
      <c r="B134" s="29"/>
      <c r="C134" s="52"/>
      <c r="D134" s="30"/>
      <c r="E134" s="29"/>
    </row>
    <row r="135" spans="1:5">
      <c r="A135" s="29"/>
      <c r="B135" s="29"/>
      <c r="C135" s="52"/>
      <c r="D135" s="30"/>
      <c r="E135" s="29"/>
    </row>
    <row r="136" spans="1:5">
      <c r="A136" s="29"/>
      <c r="B136" s="29"/>
      <c r="C136" s="52"/>
      <c r="D136" s="30"/>
      <c r="E136" s="29"/>
    </row>
    <row r="137" spans="1:5">
      <c r="A137" s="29"/>
      <c r="B137" s="29"/>
      <c r="C137" s="52"/>
      <c r="D137" s="30"/>
      <c r="E137" s="29"/>
    </row>
    <row r="138" spans="1:5">
      <c r="A138" s="29"/>
      <c r="B138" s="29"/>
      <c r="C138" s="52"/>
      <c r="D138" s="30"/>
      <c r="E138" s="29"/>
    </row>
    <row r="139" spans="1:5">
      <c r="A139" s="29"/>
      <c r="B139" s="29"/>
      <c r="C139" s="52"/>
      <c r="D139" s="30"/>
      <c r="E139" s="29"/>
    </row>
    <row r="140" spans="1:5">
      <c r="A140" s="29"/>
      <c r="B140" s="29"/>
      <c r="C140" s="52"/>
      <c r="D140" s="30"/>
      <c r="E140" s="29"/>
    </row>
    <row r="141" spans="1:5">
      <c r="A141" s="29"/>
      <c r="B141" s="29"/>
      <c r="C141" s="52"/>
      <c r="D141" s="30"/>
      <c r="E141" s="29"/>
    </row>
    <row r="142" spans="1:5">
      <c r="A142" s="29"/>
      <c r="B142" s="29"/>
      <c r="C142" s="52"/>
      <c r="D142" s="30"/>
      <c r="E142" s="29"/>
    </row>
    <row r="143" spans="1:5">
      <c r="A143" s="29"/>
      <c r="B143" s="29"/>
      <c r="C143" s="52"/>
      <c r="D143" s="30"/>
      <c r="E143" s="29"/>
    </row>
    <row r="144" spans="1:5">
      <c r="A144" s="29"/>
      <c r="B144" s="29"/>
      <c r="C144" s="52"/>
      <c r="D144" s="30"/>
      <c r="E144" s="29"/>
    </row>
    <row r="145" spans="1:5">
      <c r="A145" s="29"/>
      <c r="B145" s="29"/>
      <c r="C145" s="52"/>
      <c r="D145" s="30"/>
      <c r="E145" s="29"/>
    </row>
    <row r="146" spans="1:5">
      <c r="A146" s="29"/>
      <c r="B146" s="29"/>
      <c r="C146" s="52"/>
      <c r="D146" s="30"/>
      <c r="E146" s="29"/>
    </row>
    <row r="147" spans="1:5">
      <c r="A147" s="29"/>
      <c r="B147" s="29"/>
      <c r="C147" s="52"/>
      <c r="D147" s="30"/>
      <c r="E147" s="29"/>
    </row>
    <row r="148" spans="1:5">
      <c r="A148" s="29"/>
      <c r="B148" s="29"/>
      <c r="C148" s="52"/>
      <c r="D148" s="30"/>
      <c r="E148" s="29"/>
    </row>
    <row r="149" spans="1:5">
      <c r="A149" s="29"/>
      <c r="B149" s="29"/>
      <c r="C149" s="52"/>
      <c r="D149" s="30"/>
      <c r="E149" s="29"/>
    </row>
    <row r="150" spans="1:5">
      <c r="A150" s="29"/>
      <c r="B150" s="29"/>
      <c r="C150" s="52"/>
      <c r="D150" s="30"/>
      <c r="E150" s="29"/>
    </row>
    <row r="151" spans="1:5">
      <c r="A151" s="29"/>
      <c r="B151" s="29"/>
      <c r="C151" s="29"/>
      <c r="D151" s="29"/>
      <c r="E151" s="29"/>
    </row>
    <row r="152" spans="1:5">
      <c r="A152" s="29"/>
      <c r="B152" s="29"/>
      <c r="C152" s="29"/>
      <c r="D152" s="29"/>
      <c r="E152" s="29"/>
    </row>
    <row r="153" spans="1:5">
      <c r="A153" s="29"/>
      <c r="B153" s="29"/>
      <c r="C153" s="29"/>
      <c r="D153" s="29"/>
      <c r="E153" s="29"/>
    </row>
    <row r="154" spans="1:5">
      <c r="A154" s="29"/>
      <c r="B154" s="29"/>
      <c r="C154" s="29"/>
      <c r="D154" s="29"/>
      <c r="E154" s="29"/>
    </row>
    <row r="155" spans="1:5">
      <c r="A155" s="29"/>
      <c r="B155" s="29"/>
      <c r="C155" s="29"/>
      <c r="D155" s="29"/>
      <c r="E155" s="29"/>
    </row>
    <row r="156" spans="1:5">
      <c r="A156" s="29"/>
      <c r="B156" s="29"/>
      <c r="C156" s="29"/>
      <c r="D156" s="29"/>
      <c r="E156" s="29"/>
    </row>
    <row r="157" spans="1:5">
      <c r="A157" s="29"/>
      <c r="B157" s="29"/>
      <c r="C157" s="29"/>
      <c r="D157" s="29"/>
      <c r="E157" s="29"/>
    </row>
    <row r="158" spans="1:5">
      <c r="A158" s="29"/>
      <c r="B158" s="29"/>
      <c r="C158" s="29"/>
      <c r="D158" s="29"/>
      <c r="E158" s="29"/>
    </row>
    <row r="159" spans="1:5">
      <c r="A159" s="29"/>
      <c r="B159" s="29"/>
      <c r="C159" s="29"/>
      <c r="D159" s="29"/>
      <c r="E159" s="29"/>
    </row>
    <row r="160" spans="1:5">
      <c r="A160" s="29"/>
      <c r="B160" s="29"/>
      <c r="C160" s="29"/>
      <c r="D160" s="29"/>
      <c r="E160" s="29"/>
    </row>
    <row r="161" spans="1:5">
      <c r="A161" s="29"/>
      <c r="B161" s="29"/>
      <c r="C161" s="29"/>
      <c r="D161" s="29"/>
      <c r="E161" s="29"/>
    </row>
    <row r="162" spans="1:5">
      <c r="A162" s="29"/>
      <c r="B162" s="29"/>
      <c r="C162" s="29"/>
      <c r="D162" s="29"/>
      <c r="E162" s="29"/>
    </row>
    <row r="163" spans="1:5">
      <c r="A163" s="29"/>
      <c r="B163" s="29"/>
      <c r="C163" s="29"/>
      <c r="D163" s="29"/>
      <c r="E163" s="29"/>
    </row>
    <row r="164" spans="1:5">
      <c r="A164" s="29"/>
      <c r="B164" s="29"/>
      <c r="C164" s="29"/>
      <c r="D164" s="29"/>
      <c r="E164" s="29"/>
    </row>
    <row r="165" spans="1:5">
      <c r="A165" s="29"/>
      <c r="B165" s="29"/>
      <c r="C165" s="29"/>
      <c r="D165" s="29"/>
      <c r="E165" s="29"/>
    </row>
    <row r="166" spans="1:5">
      <c r="A166" s="29"/>
      <c r="B166" s="29"/>
      <c r="C166" s="29"/>
      <c r="D166" s="29"/>
      <c r="E166" s="29"/>
    </row>
    <row r="167" spans="1:5">
      <c r="A167" s="29"/>
      <c r="B167" s="29"/>
      <c r="C167" s="29"/>
      <c r="D167" s="29"/>
      <c r="E167" s="29"/>
    </row>
    <row r="168" spans="1:5">
      <c r="A168" s="29"/>
      <c r="B168" s="29"/>
      <c r="C168" s="29"/>
      <c r="D168" s="29"/>
      <c r="E168" s="29"/>
    </row>
    <row r="169" spans="1:5">
      <c r="A169" s="29"/>
      <c r="B169" s="29"/>
      <c r="C169" s="29"/>
      <c r="D169" s="29"/>
      <c r="E169" s="29"/>
    </row>
    <row r="170" spans="1:5">
      <c r="A170" s="29"/>
      <c r="B170" s="29"/>
      <c r="C170" s="29"/>
      <c r="D170" s="29"/>
      <c r="E170" s="29"/>
    </row>
    <row r="171" spans="1:5">
      <c r="A171" s="29"/>
      <c r="B171" s="29"/>
      <c r="C171" s="29"/>
      <c r="D171" s="29"/>
      <c r="E171" s="29"/>
    </row>
    <row r="172" spans="1:5">
      <c r="A172" s="29"/>
      <c r="B172" s="29"/>
      <c r="C172" s="29"/>
      <c r="D172" s="29"/>
      <c r="E172" s="29"/>
    </row>
    <row r="173" spans="1:5">
      <c r="A173" s="29"/>
      <c r="B173" s="29"/>
      <c r="C173" s="29"/>
      <c r="D173" s="29"/>
      <c r="E173" s="29"/>
    </row>
    <row r="174" spans="1:5">
      <c r="A174" s="29"/>
      <c r="B174" s="29"/>
      <c r="C174" s="29"/>
      <c r="D174" s="29"/>
      <c r="E174" s="29"/>
    </row>
    <row r="175" spans="1:5">
      <c r="A175" s="29"/>
      <c r="B175" s="29"/>
      <c r="C175" s="29"/>
      <c r="D175" s="29"/>
      <c r="E175" s="29"/>
    </row>
    <row r="176" spans="1:5">
      <c r="A176" s="29"/>
      <c r="B176" s="29"/>
      <c r="C176" s="29"/>
      <c r="D176" s="29"/>
      <c r="E176" s="29"/>
    </row>
    <row r="177" spans="1:5">
      <c r="A177" s="29"/>
      <c r="B177" s="29"/>
      <c r="C177" s="29"/>
      <c r="D177" s="29"/>
      <c r="E177" s="29"/>
    </row>
    <row r="178" spans="1:5">
      <c r="A178" s="29"/>
      <c r="B178" s="29"/>
      <c r="C178" s="29"/>
      <c r="D178" s="29"/>
      <c r="E178" s="29"/>
    </row>
    <row r="179" spans="1:5">
      <c r="A179" s="29"/>
      <c r="B179" s="29"/>
      <c r="C179" s="29"/>
      <c r="D179" s="29"/>
      <c r="E179" s="29"/>
    </row>
    <row r="180" spans="1:5">
      <c r="A180" s="29"/>
      <c r="B180" s="29"/>
      <c r="C180" s="29"/>
      <c r="D180" s="29"/>
      <c r="E180" s="29"/>
    </row>
    <row r="181" spans="1:5">
      <c r="A181" s="29"/>
      <c r="B181" s="29"/>
      <c r="C181" s="29"/>
      <c r="D181" s="29"/>
      <c r="E181" s="29"/>
    </row>
    <row r="182" spans="1:5">
      <c r="A182" s="29"/>
      <c r="B182" s="29"/>
      <c r="C182" s="29"/>
      <c r="D182" s="29"/>
      <c r="E182" s="29"/>
    </row>
    <row r="183" spans="1:5">
      <c r="A183" s="29"/>
      <c r="B183" s="29"/>
      <c r="C183" s="29"/>
      <c r="D183" s="29"/>
      <c r="E183" s="29"/>
    </row>
    <row r="184" spans="1:5">
      <c r="A184" s="29"/>
      <c r="B184" s="29"/>
      <c r="C184" s="29"/>
      <c r="D184" s="29"/>
      <c r="E184" s="29"/>
    </row>
    <row r="185" spans="1:5">
      <c r="A185" s="29"/>
      <c r="B185" s="29"/>
      <c r="C185" s="29"/>
      <c r="D185" s="29"/>
      <c r="E185" s="29"/>
    </row>
    <row r="186" spans="1:5">
      <c r="A186" s="29"/>
      <c r="B186" s="29"/>
      <c r="C186" s="29"/>
      <c r="D186" s="29"/>
      <c r="E186" s="29"/>
    </row>
    <row r="187" spans="1:5">
      <c r="A187" s="29"/>
      <c r="B187" s="29"/>
      <c r="C187" s="29"/>
      <c r="D187" s="29"/>
      <c r="E187" s="29"/>
    </row>
    <row r="188" spans="1:5">
      <c r="A188" s="29"/>
      <c r="B188" s="29"/>
      <c r="C188" s="29"/>
      <c r="D188" s="29"/>
      <c r="E188" s="29"/>
    </row>
    <row r="189" spans="1:5">
      <c r="A189" s="29"/>
      <c r="B189" s="29"/>
      <c r="C189" s="29"/>
      <c r="D189" s="29"/>
      <c r="E189" s="29"/>
    </row>
    <row r="1048570" spans="16370:16384">
      <c r="XEP1048570" s="123" t="s">
        <v>49</v>
      </c>
      <c r="XEQ1048570" s="123"/>
      <c r="XER1048570" s="123"/>
      <c r="XES1048570" s="123"/>
      <c r="XET1048570" s="123"/>
      <c r="XEU1048570" s="123"/>
      <c r="XEV1048570" s="123"/>
      <c r="XEW1048570" s="123"/>
      <c r="XEX1048570" s="123"/>
      <c r="XEY1048570" s="123"/>
      <c r="XEZ1048570" s="123"/>
      <c r="XFA1048570" s="123"/>
      <c r="XFB1048570" s="123"/>
      <c r="XFC1048570" s="123"/>
      <c r="XFD1048570" s="123"/>
    </row>
    <row r="1048571" spans="16370:16384">
      <c r="XEP1048571" s="123"/>
      <c r="XEQ1048571" s="123"/>
      <c r="XER1048571" s="123"/>
      <c r="XES1048571" s="123"/>
      <c r="XET1048571" s="123"/>
      <c r="XEU1048571" s="123"/>
      <c r="XEV1048571" s="123"/>
      <c r="XEW1048571" s="123"/>
      <c r="XEX1048571" s="123"/>
      <c r="XEY1048571" s="123"/>
      <c r="XEZ1048571" s="123"/>
      <c r="XFA1048571" s="123"/>
      <c r="XFB1048571" s="123"/>
      <c r="XFC1048571" s="123"/>
      <c r="XFD1048571" s="123"/>
    </row>
    <row r="1048572" spans="16370:16384">
      <c r="XEP1048572" s="123"/>
      <c r="XEQ1048572" s="123"/>
      <c r="XER1048572" s="123"/>
      <c r="XES1048572" s="123"/>
      <c r="XET1048572" s="123"/>
      <c r="XEU1048572" s="123"/>
      <c r="XEV1048572" s="123"/>
      <c r="XEW1048572" s="123"/>
      <c r="XEX1048572" s="123"/>
      <c r="XEY1048572" s="123"/>
      <c r="XEZ1048572" s="123"/>
      <c r="XFA1048572" s="123"/>
      <c r="XFB1048572" s="123"/>
      <c r="XFC1048572" s="123"/>
      <c r="XFD1048572" s="123"/>
    </row>
    <row r="1048573" spans="16370:16384">
      <c r="XEP1048573" s="123"/>
      <c r="XEQ1048573" s="123"/>
      <c r="XER1048573" s="123"/>
      <c r="XES1048573" s="123"/>
      <c r="XET1048573" s="123"/>
      <c r="XEU1048573" s="123"/>
      <c r="XEV1048573" s="123"/>
      <c r="XEW1048573" s="123"/>
      <c r="XEX1048573" s="123"/>
      <c r="XEY1048573" s="123"/>
      <c r="XEZ1048573" s="123"/>
      <c r="XFA1048573" s="123"/>
      <c r="XFB1048573" s="123"/>
      <c r="XFC1048573" s="123"/>
      <c r="XFD1048573" s="123"/>
    </row>
    <row r="1048574" spans="16370:16384">
      <c r="XEP1048574" s="123"/>
      <c r="XEQ1048574" s="123"/>
      <c r="XER1048574" s="123"/>
      <c r="XES1048574" s="123"/>
      <c r="XET1048574" s="123"/>
      <c r="XEU1048574" s="123"/>
      <c r="XEV1048574" s="123"/>
      <c r="XEW1048574" s="123"/>
      <c r="XEX1048574" s="123"/>
      <c r="XEY1048574" s="123"/>
      <c r="XEZ1048574" s="123"/>
      <c r="XFA1048574" s="123"/>
      <c r="XFB1048574" s="123"/>
      <c r="XFC1048574" s="123"/>
      <c r="XFD1048574" s="123"/>
    </row>
    <row r="1048575" spans="16370:16384">
      <c r="XEP1048575" s="123"/>
      <c r="XEQ1048575" s="123"/>
      <c r="XER1048575" s="123"/>
      <c r="XES1048575" s="123"/>
      <c r="XET1048575" s="123"/>
      <c r="XEU1048575" s="123"/>
      <c r="XEV1048575" s="123"/>
      <c r="XEW1048575" s="123"/>
      <c r="XEX1048575" s="123"/>
      <c r="XEY1048575" s="123"/>
      <c r="XEZ1048575" s="123"/>
      <c r="XFA1048575" s="123"/>
      <c r="XFB1048575" s="123"/>
      <c r="XFC1048575" s="123"/>
      <c r="XFD1048575" s="123"/>
    </row>
    <row r="1048576" spans="16370:16384">
      <c r="XEP1048576" s="123"/>
      <c r="XEQ1048576" s="123"/>
      <c r="XER1048576" s="123"/>
      <c r="XES1048576" s="123"/>
      <c r="XET1048576" s="123"/>
      <c r="XEU1048576" s="123"/>
      <c r="XEV1048576" s="123"/>
      <c r="XEW1048576" s="123"/>
      <c r="XEX1048576" s="123"/>
      <c r="XEY1048576" s="123"/>
      <c r="XEZ1048576" s="123"/>
      <c r="XFA1048576" s="123"/>
      <c r="XFB1048576" s="123"/>
      <c r="XFC1048576" s="123"/>
      <c r="XFD1048576" s="123"/>
    </row>
  </sheetData>
  <sheetProtection algorithmName="SHA-512" hashValue="thwcDNQ/V6M3Kcd6yes235xjX4fjF8QV5f1Z42PR2946h2KYWsCk89kuY3se+SMPkzj2nMTsK9CdxBfLci+pwQ==" saltValue="sP45DoSe9obRsUkJUzUFBA==" spinCount="100000" sheet="1" objects="1" scenarios="1" sort="0"/>
  <mergeCells count="5">
    <mergeCell ref="A1:F1"/>
    <mergeCell ref="H26:I26"/>
    <mergeCell ref="J26:N26"/>
    <mergeCell ref="O26:P26"/>
    <mergeCell ref="XEP1048570:XFD1048576"/>
  </mergeCells>
  <conditionalFormatting sqref="A11:B50">
    <cfRule type="expression" dxfId="20" priority="2">
      <formula>COUNTA($B11)</formula>
    </cfRule>
  </conditionalFormatting>
  <conditionalFormatting sqref="A11:L50">
    <cfRule type="expression" dxfId="19" priority="1">
      <formula>COUNTA($B11)</formula>
    </cfRule>
  </conditionalFormatting>
  <conditionalFormatting sqref="B5">
    <cfRule type="expression" dxfId="18" priority="8">
      <formula>LEN($B$5)&gt;255</formula>
    </cfRule>
  </conditionalFormatting>
  <conditionalFormatting sqref="B3:C3">
    <cfRule type="expression" dxfId="17" priority="9">
      <formula>LEN($B$3)&gt;80</formula>
    </cfRule>
  </conditionalFormatting>
  <conditionalFormatting sqref="F26:P26">
    <cfRule type="expression" dxfId="16" priority="10">
      <formula>COUNT($F26)</formula>
    </cfRule>
  </conditionalFormatting>
  <dataValidations count="5">
    <dataValidation type="textLength" errorStyle="warning" allowBlank="1" showInputMessage="1" showErrorMessage="1" errorTitle="Check Quiz Title" error="Quiz Title exceeds the max character limit of 80. Kindly edit." sqref="B4 D3 B6:B7" xr:uid="{62506C55-DDF7-48B7-9CBC-979A05099C36}">
      <formula1>0</formula1>
      <formula2>80</formula2>
    </dataValidation>
    <dataValidation type="textLength" errorStyle="warning" allowBlank="1" showErrorMessage="1" errorTitle="Check Learning Plan Name" error="Learning Plan name exceeds the max character limit of 80. Kindly edit." sqref="C3" xr:uid="{6DDD4401-FD87-4C06-A36B-6E5A4F220331}">
      <formula1>0</formula1>
      <formula2>80</formula2>
    </dataValidation>
    <dataValidation type="textLength" errorStyle="warning" allowBlank="1" showErrorMessage="1" errorTitle="Check Description" error="Description exceeds the max character limit of 255. Kindly edit." sqref="B5" xr:uid="{1F2BD2AE-5BDD-4FE7-91A3-4E4E58049CE3}">
      <formula1>1</formula1>
      <formula2>255</formula2>
    </dataValidation>
    <dataValidation type="textLength" errorStyle="warning" allowBlank="1" showErrorMessage="1" errorTitle="Check Page Name" error="This name appears on top of Questions and beneath Quiz Title and is mandatory. Default remains 'Page 01'." sqref="A7" xr:uid="{AA46D2DB-5C02-4372-BAF8-1DDAB75A2655}">
      <formula1>4</formula1>
      <formula2>80</formula2>
    </dataValidation>
    <dataValidation type="textLength" errorStyle="warning" allowBlank="1" showErrorMessage="1" errorTitle="Check Learning Trac Name" error="Learning Trac name exceeds the max character limit of 80. Kindly edit." sqref="B3" xr:uid="{BC3573EF-A7FB-422B-BA29-AF6E80DBE77F}">
      <formula1>0</formula1>
      <formula2>80</formula2>
    </dataValidation>
  </dataValidations>
  <hyperlinks>
    <hyperlink ref="A1:F1" r:id="rId1" display="Appinium Learning Trac Creation Template v1" xr:uid="{F122F3A4-C41B-4F66-AF55-A29EB8FF70CD}"/>
  </hyperlinks>
  <pageMargins left="0.7" right="0.7" top="0.75" bottom="0.75" header="0.3" footer="0.3"/>
  <pageSetup orientation="portrait" r:id="rId2"/>
  <headerFooter>
    <oddFooter>&amp;R_x000D_&amp;1#&amp;"Calibri"&amp;8&amp;K000000 Cisco Confidential</oddFooter>
  </headerFooter>
  <tableParts count="1">
    <tablePart r:id="rId3"/>
  </tableParts>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Select from Drop Down" error="No other value other than drop down." xr:uid="{7AD4ACF1-CE36-4B1B-AC5D-13F421BFC3E0}">
          <x14:formula1>
            <xm:f>Input!$C$2:$C$4</xm:f>
          </x14:formula1>
          <xm:sqref>D7</xm:sqref>
        </x14:dataValidation>
        <x14:dataValidation type="list" errorStyle="warning" allowBlank="1" showInputMessage="1" showErrorMessage="1" errorTitle="Incorrect Input" error="Select value from drop down only." xr:uid="{2DA1FFFB-FDFA-4881-B910-22514124270D}">
          <x14:formula1>
            <xm:f>Input!$O$6:$O$12</xm:f>
          </x14:formula1>
          <xm:sqref>G26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79F95-85E7-4C71-AB20-1E90C7499535}">
  <sheetPr>
    <tabColor theme="0"/>
  </sheetPr>
  <dimension ref="A1:XFD1048576"/>
  <sheetViews>
    <sheetView showGridLines="0" zoomScale="140" zoomScaleNormal="140" workbookViewId="0">
      <pane ySplit="1" topLeftCell="A15" activePane="bottomLeft" state="frozen"/>
      <selection pane="bottomLeft" activeCell="D48" sqref="D48:J48"/>
    </sheetView>
  </sheetViews>
  <sheetFormatPr defaultColWidth="8.7109375" defaultRowHeight="14.45"/>
  <cols>
    <col min="2" max="2" width="21.28515625" customWidth="1"/>
    <col min="3" max="4" width="34.7109375" customWidth="1"/>
    <col min="5" max="5" width="15.7109375" customWidth="1"/>
    <col min="6" max="6" width="34.7109375" customWidth="1"/>
    <col min="7" max="7" width="16.7109375" customWidth="1"/>
    <col min="8" max="8" width="34.7109375" customWidth="1"/>
    <col min="9" max="9" width="16.7109375" customWidth="1"/>
    <col min="10" max="10" width="34.140625" customWidth="1"/>
    <col min="11" max="11" width="16.7109375" customWidth="1"/>
  </cols>
  <sheetData>
    <row r="1" spans="1:11" ht="50.1" customHeight="1">
      <c r="A1" s="147" t="s">
        <v>145</v>
      </c>
      <c r="B1" s="147"/>
      <c r="C1" s="147"/>
      <c r="D1" s="147"/>
      <c r="E1" s="147"/>
      <c r="F1" s="147"/>
      <c r="G1" s="147"/>
      <c r="H1" s="147"/>
      <c r="I1" s="147"/>
      <c r="J1" s="147"/>
      <c r="K1" s="147"/>
    </row>
    <row r="2" spans="1:11" ht="50.1" customHeight="1">
      <c r="A2" s="4"/>
      <c r="B2" s="5" t="s">
        <v>146</v>
      </c>
      <c r="C2" s="24" t="s">
        <v>147</v>
      </c>
      <c r="D2" s="136" t="s">
        <v>148</v>
      </c>
      <c r="E2" s="136"/>
      <c r="F2" s="136"/>
      <c r="G2" s="136"/>
      <c r="H2" s="136"/>
      <c r="I2" s="136"/>
      <c r="J2" s="136"/>
      <c r="K2" s="4"/>
    </row>
    <row r="3" spans="1:11" s="6" customFormat="1" ht="92.85" customHeight="1">
      <c r="A3" s="5"/>
      <c r="B3" s="5">
        <v>1</v>
      </c>
      <c r="C3" s="5" t="s">
        <v>149</v>
      </c>
      <c r="D3" s="136" t="s">
        <v>150</v>
      </c>
      <c r="E3" s="136"/>
      <c r="F3" s="136"/>
      <c r="G3" s="136"/>
      <c r="H3" s="136"/>
      <c r="I3" s="136"/>
      <c r="J3" s="136"/>
      <c r="K3" s="5"/>
    </row>
    <row r="4" spans="1:11" s="6" customFormat="1" ht="25.35" customHeight="1">
      <c r="A4" s="7"/>
      <c r="B4" s="7">
        <v>2</v>
      </c>
      <c r="C4" s="47" t="s">
        <v>151</v>
      </c>
      <c r="D4" s="137" t="s">
        <v>152</v>
      </c>
      <c r="E4" s="137"/>
      <c r="F4" s="137"/>
      <c r="G4" s="137"/>
      <c r="H4" s="137"/>
      <c r="I4" s="137"/>
      <c r="J4" s="137"/>
      <c r="K4" s="7"/>
    </row>
    <row r="5" spans="1:11" s="10" customFormat="1" ht="25.35" customHeight="1">
      <c r="A5" s="8"/>
      <c r="B5" s="9">
        <v>3</v>
      </c>
      <c r="C5" s="23" t="s">
        <v>153</v>
      </c>
      <c r="D5" s="138"/>
      <c r="E5" s="138"/>
      <c r="F5" s="138"/>
      <c r="G5" s="138"/>
      <c r="H5" s="138"/>
      <c r="I5" s="138"/>
      <c r="J5" s="138"/>
      <c r="K5" s="8"/>
    </row>
    <row r="6" spans="1:11" s="10" customFormat="1" ht="25.35" customHeight="1">
      <c r="A6" s="11"/>
      <c r="B6" s="12" t="s">
        <v>154</v>
      </c>
      <c r="C6" s="48" t="s">
        <v>155</v>
      </c>
      <c r="D6" s="135" t="s">
        <v>156</v>
      </c>
      <c r="E6" s="135"/>
      <c r="F6" s="135"/>
      <c r="G6" s="135"/>
      <c r="H6" s="135"/>
      <c r="I6" s="135"/>
      <c r="J6" s="135"/>
      <c r="K6" s="11"/>
    </row>
    <row r="7" spans="1:11" s="10" customFormat="1" ht="25.35" customHeight="1">
      <c r="A7" s="11"/>
      <c r="B7" s="12" t="s">
        <v>157</v>
      </c>
      <c r="C7" s="13" t="s">
        <v>8</v>
      </c>
      <c r="D7" s="135" t="s">
        <v>158</v>
      </c>
      <c r="E7" s="135"/>
      <c r="F7" s="135"/>
      <c r="G7" s="135"/>
      <c r="H7" s="135"/>
      <c r="I7" s="135"/>
      <c r="J7" s="135"/>
      <c r="K7" s="11"/>
    </row>
    <row r="8" spans="1:11" s="114" customFormat="1" ht="25.35" customHeight="1">
      <c r="A8" s="111"/>
      <c r="B8" s="112" t="s">
        <v>159</v>
      </c>
      <c r="C8" s="113" t="s">
        <v>12</v>
      </c>
      <c r="D8" s="139" t="s">
        <v>160</v>
      </c>
      <c r="E8" s="139"/>
      <c r="F8" s="139"/>
      <c r="G8" s="139"/>
      <c r="H8" s="139"/>
      <c r="I8" s="139"/>
      <c r="J8" s="139"/>
      <c r="K8" s="111"/>
    </row>
    <row r="9" spans="1:11" s="10" customFormat="1" ht="25.35" customHeight="1">
      <c r="A9" s="11"/>
      <c r="B9" s="112" t="s">
        <v>161</v>
      </c>
      <c r="C9" s="115" t="s">
        <v>15</v>
      </c>
      <c r="D9" s="139" t="s">
        <v>162</v>
      </c>
      <c r="E9" s="139"/>
      <c r="F9" s="139"/>
      <c r="G9" s="139"/>
      <c r="H9" s="139"/>
      <c r="I9" s="139"/>
      <c r="J9" s="139"/>
      <c r="K9" s="111"/>
    </row>
    <row r="10" spans="1:11" s="10" customFormat="1" ht="25.35" customHeight="1">
      <c r="A10" s="11"/>
      <c r="B10" s="112" t="s">
        <v>163</v>
      </c>
      <c r="C10" s="113" t="s">
        <v>8</v>
      </c>
      <c r="D10" s="139" t="s">
        <v>164</v>
      </c>
      <c r="E10" s="139"/>
      <c r="F10" s="139"/>
      <c r="G10" s="139"/>
      <c r="H10" s="139"/>
      <c r="I10" s="139"/>
      <c r="J10" s="139"/>
      <c r="K10" s="11"/>
    </row>
    <row r="11" spans="1:11" s="10" customFormat="1" ht="25.35" customHeight="1">
      <c r="A11" s="11"/>
      <c r="B11" s="112" t="s">
        <v>165</v>
      </c>
      <c r="C11" s="115" t="s">
        <v>166</v>
      </c>
      <c r="D11" s="139" t="s">
        <v>167</v>
      </c>
      <c r="E11" s="139"/>
      <c r="F11" s="139"/>
      <c r="G11" s="139"/>
      <c r="H11" s="139"/>
      <c r="I11" s="139"/>
      <c r="J11" s="139"/>
      <c r="K11" s="111"/>
    </row>
    <row r="12" spans="1:11" s="10" customFormat="1" ht="25.35" customHeight="1">
      <c r="A12" s="11"/>
      <c r="B12" s="112" t="s">
        <v>168</v>
      </c>
      <c r="C12" s="115" t="s">
        <v>9</v>
      </c>
      <c r="D12" s="139" t="s">
        <v>169</v>
      </c>
      <c r="E12" s="139"/>
      <c r="F12" s="139"/>
      <c r="G12" s="139"/>
      <c r="H12" s="139"/>
      <c r="I12" s="139"/>
      <c r="J12" s="139"/>
      <c r="K12" s="11"/>
    </row>
    <row r="13" spans="1:11" s="10" customFormat="1" ht="25.35" customHeight="1">
      <c r="A13" s="11"/>
      <c r="B13" s="12" t="s">
        <v>170</v>
      </c>
      <c r="C13" s="48" t="s">
        <v>13</v>
      </c>
      <c r="D13" s="135" t="s">
        <v>171</v>
      </c>
      <c r="E13" s="135"/>
      <c r="F13" s="135"/>
      <c r="G13" s="135"/>
      <c r="H13" s="135"/>
      <c r="I13" s="135"/>
      <c r="J13" s="135"/>
      <c r="K13" s="11"/>
    </row>
    <row r="14" spans="1:11" s="10" customFormat="1" ht="25.35" customHeight="1">
      <c r="A14" s="11"/>
      <c r="B14" s="112" t="s">
        <v>172</v>
      </c>
      <c r="C14" s="113" t="s">
        <v>17</v>
      </c>
      <c r="D14" s="139" t="s">
        <v>173</v>
      </c>
      <c r="E14" s="139"/>
      <c r="F14" s="139"/>
      <c r="G14" s="139"/>
      <c r="H14" s="139"/>
      <c r="I14" s="139"/>
      <c r="J14" s="139"/>
      <c r="K14" s="111"/>
    </row>
    <row r="15" spans="1:11" s="10" customFormat="1" ht="25.35" customHeight="1">
      <c r="A15" s="11"/>
      <c r="B15" s="112" t="s">
        <v>174</v>
      </c>
      <c r="C15" s="113" t="s">
        <v>5</v>
      </c>
      <c r="D15" s="139" t="s">
        <v>175</v>
      </c>
      <c r="E15" s="139"/>
      <c r="F15" s="139"/>
      <c r="G15" s="139"/>
      <c r="H15" s="139"/>
      <c r="I15" s="139"/>
      <c r="J15" s="139"/>
      <c r="K15" s="11"/>
    </row>
    <row r="16" spans="1:11" s="10" customFormat="1" ht="25.35" customHeight="1">
      <c r="A16" s="11"/>
      <c r="B16" s="112" t="s">
        <v>176</v>
      </c>
      <c r="C16" s="113" t="s">
        <v>11</v>
      </c>
      <c r="D16" s="139" t="s">
        <v>175</v>
      </c>
      <c r="E16" s="139"/>
      <c r="F16" s="139"/>
      <c r="G16" s="139"/>
      <c r="H16" s="139"/>
      <c r="I16" s="139"/>
      <c r="J16" s="139"/>
      <c r="K16" s="11"/>
    </row>
    <row r="17" spans="1:11" s="10" customFormat="1" ht="25.35" customHeight="1">
      <c r="A17" s="11"/>
      <c r="B17" s="112" t="s">
        <v>177</v>
      </c>
      <c r="C17" s="113" t="s">
        <v>14</v>
      </c>
      <c r="D17" s="139" t="s">
        <v>178</v>
      </c>
      <c r="E17" s="139"/>
      <c r="F17" s="139"/>
      <c r="G17" s="139"/>
      <c r="H17" s="139"/>
      <c r="I17" s="139"/>
      <c r="J17" s="139"/>
      <c r="K17" s="11"/>
    </row>
    <row r="18" spans="1:11" s="10" customFormat="1" ht="25.35" customHeight="1">
      <c r="A18" s="11"/>
      <c r="B18" s="12" t="s">
        <v>179</v>
      </c>
      <c r="C18" s="48" t="s">
        <v>19</v>
      </c>
      <c r="D18" s="135" t="s">
        <v>180</v>
      </c>
      <c r="E18" s="135"/>
      <c r="F18" s="135"/>
      <c r="G18" s="135"/>
      <c r="H18" s="135"/>
      <c r="I18" s="135"/>
      <c r="J18" s="135"/>
      <c r="K18" s="11"/>
    </row>
    <row r="19" spans="1:11" s="10" customFormat="1" ht="25.35" customHeight="1">
      <c r="A19" s="11"/>
      <c r="B19" s="112" t="s">
        <v>181</v>
      </c>
      <c r="C19" s="115" t="s">
        <v>20</v>
      </c>
      <c r="D19" s="139" t="s">
        <v>182</v>
      </c>
      <c r="E19" s="139"/>
      <c r="F19" s="139"/>
      <c r="G19" s="139"/>
      <c r="H19" s="139"/>
      <c r="I19" s="139"/>
      <c r="J19" s="139"/>
      <c r="K19" s="11"/>
    </row>
    <row r="20" spans="1:11" s="10" customFormat="1" ht="25.35" customHeight="1">
      <c r="A20" s="11"/>
      <c r="B20" s="112" t="s">
        <v>183</v>
      </c>
      <c r="C20" s="115" t="s">
        <v>184</v>
      </c>
      <c r="D20" s="139" t="s">
        <v>185</v>
      </c>
      <c r="E20" s="139"/>
      <c r="F20" s="139"/>
      <c r="G20" s="139"/>
      <c r="H20" s="139"/>
      <c r="I20" s="139"/>
      <c r="J20" s="139"/>
      <c r="K20" s="11"/>
    </row>
    <row r="21" spans="1:11" s="10" customFormat="1" ht="25.35" customHeight="1">
      <c r="A21" s="11"/>
      <c r="B21" s="112" t="s">
        <v>186</v>
      </c>
      <c r="C21" s="113" t="s">
        <v>23</v>
      </c>
      <c r="D21" s="139" t="s">
        <v>187</v>
      </c>
      <c r="E21" s="139"/>
      <c r="F21" s="139"/>
      <c r="G21" s="139"/>
      <c r="H21" s="139"/>
      <c r="I21" s="139"/>
      <c r="J21" s="139"/>
      <c r="K21" s="11"/>
    </row>
    <row r="22" spans="1:11" s="10" customFormat="1" ht="58.35" customHeight="1">
      <c r="A22" s="11"/>
      <c r="B22" s="12" t="s">
        <v>188</v>
      </c>
      <c r="C22" s="13" t="s">
        <v>24</v>
      </c>
      <c r="D22" s="135" t="s">
        <v>189</v>
      </c>
      <c r="E22" s="135"/>
      <c r="F22" s="135"/>
      <c r="G22" s="135"/>
      <c r="H22" s="135"/>
      <c r="I22" s="135"/>
      <c r="J22" s="135"/>
      <c r="K22" s="11"/>
    </row>
    <row r="23" spans="1:11" s="10" customFormat="1" ht="25.35" customHeight="1">
      <c r="A23" s="11"/>
      <c r="B23" s="12" t="s">
        <v>190</v>
      </c>
      <c r="C23" s="13" t="s">
        <v>191</v>
      </c>
      <c r="D23" s="135" t="s">
        <v>192</v>
      </c>
      <c r="E23" s="135"/>
      <c r="F23" s="135"/>
      <c r="G23" s="135"/>
      <c r="H23" s="135"/>
      <c r="I23" s="135"/>
      <c r="J23" s="135"/>
      <c r="K23" s="11"/>
    </row>
    <row r="24" spans="1:11" s="10" customFormat="1" ht="25.35" customHeight="1">
      <c r="A24" s="14"/>
      <c r="B24" s="15" t="s">
        <v>193</v>
      </c>
      <c r="C24" s="16" t="s">
        <v>194</v>
      </c>
      <c r="D24" s="143" t="s">
        <v>195</v>
      </c>
      <c r="E24" s="143"/>
      <c r="F24" s="143"/>
      <c r="G24" s="143"/>
      <c r="H24" s="143"/>
      <c r="I24" s="143"/>
      <c r="J24" s="143"/>
      <c r="K24" s="14"/>
    </row>
    <row r="25" spans="1:11" s="10" customFormat="1" ht="25.35" customHeight="1">
      <c r="A25" s="14"/>
      <c r="B25" s="75" t="s">
        <v>146</v>
      </c>
      <c r="C25" s="76" t="s">
        <v>196</v>
      </c>
      <c r="D25" s="144" t="s">
        <v>197</v>
      </c>
      <c r="E25" s="144"/>
      <c r="F25" s="144"/>
      <c r="G25" s="144"/>
      <c r="H25" s="144"/>
      <c r="I25" s="144"/>
      <c r="J25" s="144"/>
      <c r="K25" s="14"/>
    </row>
    <row r="26" spans="1:11" s="10" customFormat="1" ht="25.35" customHeight="1">
      <c r="A26" s="14"/>
      <c r="B26" s="75" t="s">
        <v>146</v>
      </c>
      <c r="C26" s="76" t="s">
        <v>198</v>
      </c>
      <c r="D26" s="141" t="s">
        <v>199</v>
      </c>
      <c r="E26" s="141"/>
      <c r="F26" s="141"/>
      <c r="G26" s="141"/>
      <c r="H26" s="141"/>
      <c r="I26" s="141"/>
      <c r="J26" s="141"/>
      <c r="K26" s="14"/>
    </row>
    <row r="27" spans="1:11" s="10" customFormat="1" ht="25.35" customHeight="1">
      <c r="A27" s="17"/>
      <c r="B27" s="18">
        <v>4</v>
      </c>
      <c r="C27" s="22" t="s">
        <v>200</v>
      </c>
      <c r="D27" s="142"/>
      <c r="E27" s="142"/>
      <c r="F27" s="142"/>
      <c r="G27" s="142"/>
      <c r="H27" s="142"/>
      <c r="I27" s="142"/>
      <c r="J27" s="142"/>
      <c r="K27" s="17"/>
    </row>
    <row r="28" spans="1:11" s="10" customFormat="1" ht="25.35" customHeight="1">
      <c r="A28" s="19"/>
      <c r="B28" s="20" t="s">
        <v>154</v>
      </c>
      <c r="C28" s="49" t="s">
        <v>72</v>
      </c>
      <c r="D28" s="140" t="s">
        <v>201</v>
      </c>
      <c r="E28" s="140"/>
      <c r="F28" s="140"/>
      <c r="G28" s="140"/>
      <c r="H28" s="140"/>
      <c r="I28" s="140"/>
      <c r="J28" s="140"/>
      <c r="K28" s="19"/>
    </row>
    <row r="29" spans="1:11" s="10" customFormat="1" ht="25.35" customHeight="1">
      <c r="A29" s="19"/>
      <c r="B29" s="20" t="s">
        <v>157</v>
      </c>
      <c r="C29" s="49" t="s">
        <v>8</v>
      </c>
      <c r="D29" s="140" t="s">
        <v>202</v>
      </c>
      <c r="E29" s="140"/>
      <c r="F29" s="140"/>
      <c r="G29" s="140"/>
      <c r="H29" s="140"/>
      <c r="I29" s="140"/>
      <c r="J29" s="140"/>
      <c r="K29" s="19"/>
    </row>
    <row r="30" spans="1:11" s="10" customFormat="1" ht="25.35" customHeight="1">
      <c r="A30" s="19"/>
      <c r="B30" s="116" t="s">
        <v>159</v>
      </c>
      <c r="C30" s="117" t="s">
        <v>78</v>
      </c>
      <c r="D30" s="145" t="s">
        <v>203</v>
      </c>
      <c r="E30" s="145"/>
      <c r="F30" s="145"/>
      <c r="G30" s="145"/>
      <c r="H30" s="145"/>
      <c r="I30" s="145"/>
      <c r="J30" s="145"/>
      <c r="K30" s="19"/>
    </row>
    <row r="31" spans="1:11" s="10" customFormat="1" ht="25.35" customHeight="1">
      <c r="A31" s="19"/>
      <c r="B31" s="20" t="s">
        <v>161</v>
      </c>
      <c r="C31" s="21" t="s">
        <v>81</v>
      </c>
      <c r="D31" s="140" t="s">
        <v>204</v>
      </c>
      <c r="E31" s="140"/>
      <c r="F31" s="140"/>
      <c r="G31" s="140"/>
      <c r="H31" s="140"/>
      <c r="I31" s="140"/>
      <c r="J31" s="140"/>
      <c r="K31" s="19"/>
    </row>
    <row r="32" spans="1:11" s="10" customFormat="1" ht="25.35" customHeight="1">
      <c r="A32" s="19"/>
      <c r="B32" s="20" t="s">
        <v>163</v>
      </c>
      <c r="C32" s="49" t="s">
        <v>83</v>
      </c>
      <c r="D32" s="140" t="s">
        <v>169</v>
      </c>
      <c r="E32" s="140"/>
      <c r="F32" s="140"/>
      <c r="G32" s="140"/>
      <c r="H32" s="140"/>
      <c r="I32" s="140"/>
      <c r="J32" s="140"/>
      <c r="K32" s="19"/>
    </row>
    <row r="33" spans="1:11" s="10" customFormat="1" ht="25.35" customHeight="1">
      <c r="A33" s="19"/>
      <c r="B33" s="20" t="s">
        <v>165</v>
      </c>
      <c r="C33" s="49" t="s">
        <v>166</v>
      </c>
      <c r="D33" s="140" t="s">
        <v>205</v>
      </c>
      <c r="E33" s="140"/>
      <c r="F33" s="140"/>
      <c r="G33" s="140"/>
      <c r="H33" s="140"/>
      <c r="I33" s="140"/>
      <c r="J33" s="140"/>
      <c r="K33" s="19"/>
    </row>
    <row r="34" spans="1:11" s="10" customFormat="1" ht="25.35" customHeight="1">
      <c r="A34" s="19"/>
      <c r="B34" s="20" t="s">
        <v>168</v>
      </c>
      <c r="C34" s="49" t="s">
        <v>9</v>
      </c>
      <c r="D34" s="140" t="s">
        <v>169</v>
      </c>
      <c r="E34" s="140"/>
      <c r="F34" s="140"/>
      <c r="G34" s="140"/>
      <c r="H34" s="140"/>
      <c r="I34" s="140"/>
      <c r="J34" s="140"/>
      <c r="K34" s="19"/>
    </row>
    <row r="35" spans="1:11" s="10" customFormat="1" ht="25.35" customHeight="1">
      <c r="A35" s="19"/>
      <c r="B35" s="20" t="s">
        <v>170</v>
      </c>
      <c r="C35" s="49" t="s">
        <v>79</v>
      </c>
      <c r="D35" s="140" t="s">
        <v>169</v>
      </c>
      <c r="E35" s="140"/>
      <c r="F35" s="140"/>
      <c r="G35" s="140"/>
      <c r="H35" s="140"/>
      <c r="I35" s="140"/>
      <c r="J35" s="140"/>
      <c r="K35" s="19"/>
    </row>
    <row r="36" spans="1:11" s="10" customFormat="1" ht="25.35" customHeight="1">
      <c r="A36" s="19"/>
      <c r="B36" s="20" t="s">
        <v>172</v>
      </c>
      <c r="C36" s="21" t="s">
        <v>17</v>
      </c>
      <c r="D36" s="140" t="s">
        <v>173</v>
      </c>
      <c r="E36" s="140"/>
      <c r="F36" s="140"/>
      <c r="G36" s="140"/>
      <c r="H36" s="140"/>
      <c r="I36" s="140"/>
      <c r="J36" s="140"/>
      <c r="K36" s="19"/>
    </row>
    <row r="37" spans="1:11" s="10" customFormat="1" ht="25.35" customHeight="1">
      <c r="A37" s="19"/>
      <c r="B37" s="116" t="s">
        <v>174</v>
      </c>
      <c r="C37" s="118" t="s">
        <v>85</v>
      </c>
      <c r="D37" s="145" t="s">
        <v>206</v>
      </c>
      <c r="E37" s="145"/>
      <c r="F37" s="145"/>
      <c r="G37" s="145"/>
      <c r="H37" s="145"/>
      <c r="I37" s="145"/>
      <c r="J37" s="145"/>
      <c r="K37" s="19"/>
    </row>
    <row r="38" spans="1:11" s="10" customFormat="1" ht="25.35" customHeight="1">
      <c r="A38" s="19"/>
      <c r="B38" s="116" t="s">
        <v>176</v>
      </c>
      <c r="C38" s="117" t="s">
        <v>5</v>
      </c>
      <c r="D38" s="145" t="s">
        <v>175</v>
      </c>
      <c r="E38" s="145"/>
      <c r="F38" s="145"/>
      <c r="G38" s="145"/>
      <c r="H38" s="145"/>
      <c r="I38" s="145"/>
      <c r="J38" s="145"/>
      <c r="K38" s="19"/>
    </row>
    <row r="39" spans="1:11" s="10" customFormat="1" ht="25.35" customHeight="1">
      <c r="A39" s="19"/>
      <c r="B39" s="20" t="s">
        <v>177</v>
      </c>
      <c r="C39" s="21" t="s">
        <v>76</v>
      </c>
      <c r="D39" s="140" t="s">
        <v>207</v>
      </c>
      <c r="E39" s="140"/>
      <c r="F39" s="140"/>
      <c r="G39" s="140"/>
      <c r="H39" s="140"/>
      <c r="I39" s="140"/>
      <c r="J39" s="140"/>
      <c r="K39" s="19"/>
    </row>
    <row r="40" spans="1:11" s="10" customFormat="1" ht="25.35" customHeight="1">
      <c r="A40" s="19"/>
      <c r="B40" s="20" t="s">
        <v>179</v>
      </c>
      <c r="C40" s="21" t="s">
        <v>208</v>
      </c>
      <c r="D40" s="140" t="s">
        <v>209</v>
      </c>
      <c r="E40" s="140"/>
      <c r="F40" s="140"/>
      <c r="G40" s="140"/>
      <c r="H40" s="140"/>
      <c r="I40" s="140"/>
      <c r="J40" s="140"/>
      <c r="K40" s="19"/>
    </row>
    <row r="41" spans="1:11" s="10" customFormat="1" ht="25.35" customHeight="1">
      <c r="A41" s="19"/>
      <c r="B41" s="20" t="s">
        <v>181</v>
      </c>
      <c r="C41" s="49" t="s">
        <v>210</v>
      </c>
      <c r="D41" s="140" t="s">
        <v>211</v>
      </c>
      <c r="E41" s="140"/>
      <c r="F41" s="140"/>
      <c r="G41" s="140"/>
      <c r="H41" s="140"/>
      <c r="I41" s="140"/>
      <c r="J41" s="140"/>
      <c r="K41" s="19"/>
    </row>
    <row r="42" spans="1:11" s="10" customFormat="1" ht="25.35" customHeight="1">
      <c r="A42" s="19"/>
      <c r="B42" s="20" t="s">
        <v>183</v>
      </c>
      <c r="C42" s="49" t="s">
        <v>86</v>
      </c>
      <c r="D42" s="140" t="s">
        <v>182</v>
      </c>
      <c r="E42" s="140"/>
      <c r="F42" s="140"/>
      <c r="G42" s="140"/>
      <c r="H42" s="140"/>
      <c r="I42" s="140"/>
      <c r="J42" s="140"/>
      <c r="K42" s="19"/>
    </row>
    <row r="43" spans="1:11" s="10" customFormat="1" ht="25.35" customHeight="1">
      <c r="A43" s="19"/>
      <c r="B43" s="20" t="s">
        <v>186</v>
      </c>
      <c r="C43" s="49" t="s">
        <v>212</v>
      </c>
      <c r="D43" s="140" t="s">
        <v>213</v>
      </c>
      <c r="E43" s="140"/>
      <c r="F43" s="140"/>
      <c r="G43" s="140"/>
      <c r="H43" s="140"/>
      <c r="I43" s="140"/>
      <c r="J43" s="140"/>
      <c r="K43" s="19"/>
    </row>
    <row r="44" spans="1:11" s="10" customFormat="1" ht="25.35" customHeight="1">
      <c r="A44" s="19"/>
      <c r="B44" s="20" t="s">
        <v>188</v>
      </c>
      <c r="C44" s="49" t="s">
        <v>214</v>
      </c>
      <c r="D44" s="140" t="s">
        <v>215</v>
      </c>
      <c r="E44" s="140"/>
      <c r="F44" s="140"/>
      <c r="G44" s="140"/>
      <c r="H44" s="140"/>
      <c r="I44" s="140"/>
      <c r="J44" s="140"/>
      <c r="K44" s="19"/>
    </row>
    <row r="45" spans="1:11" s="10" customFormat="1" ht="25.35" customHeight="1">
      <c r="A45" s="19"/>
      <c r="B45" s="20" t="s">
        <v>190</v>
      </c>
      <c r="C45" s="49" t="s">
        <v>216</v>
      </c>
      <c r="D45" s="140" t="s">
        <v>217</v>
      </c>
      <c r="E45" s="140"/>
      <c r="F45" s="140"/>
      <c r="G45" s="140"/>
      <c r="H45" s="140"/>
      <c r="I45" s="140"/>
      <c r="J45" s="140"/>
      <c r="K45" s="19"/>
    </row>
    <row r="46" spans="1:11" s="10" customFormat="1" ht="25.35" customHeight="1">
      <c r="A46" s="19"/>
      <c r="B46" s="20" t="s">
        <v>193</v>
      </c>
      <c r="C46" s="21" t="s">
        <v>96</v>
      </c>
      <c r="D46" s="140" t="s">
        <v>218</v>
      </c>
      <c r="E46" s="140"/>
      <c r="F46" s="140"/>
      <c r="G46" s="140"/>
      <c r="H46" s="140"/>
      <c r="I46" s="140"/>
      <c r="J46" s="140"/>
      <c r="K46" s="19"/>
    </row>
    <row r="47" spans="1:11" s="10" customFormat="1" ht="25.35" customHeight="1">
      <c r="A47" s="19"/>
      <c r="B47" s="20" t="s">
        <v>219</v>
      </c>
      <c r="C47" s="49" t="s">
        <v>87</v>
      </c>
      <c r="D47" s="140" t="s">
        <v>220</v>
      </c>
      <c r="E47" s="140"/>
      <c r="F47" s="140"/>
      <c r="G47" s="140"/>
      <c r="H47" s="140"/>
      <c r="I47" s="140"/>
      <c r="J47" s="140"/>
      <c r="K47" s="19"/>
    </row>
    <row r="48" spans="1:11" s="10" customFormat="1" ht="78" customHeight="1">
      <c r="A48" s="19"/>
      <c r="B48" s="20" t="s">
        <v>221</v>
      </c>
      <c r="C48" s="49" t="s">
        <v>88</v>
      </c>
      <c r="D48" s="140" t="s">
        <v>222</v>
      </c>
      <c r="E48" s="140"/>
      <c r="F48" s="140"/>
      <c r="G48" s="140"/>
      <c r="H48" s="140"/>
      <c r="I48" s="140"/>
      <c r="J48" s="140"/>
      <c r="K48" s="19"/>
    </row>
    <row r="49" spans="1:11" s="10" customFormat="1" ht="25.35" customHeight="1">
      <c r="A49" s="19"/>
      <c r="B49" s="20" t="s">
        <v>223</v>
      </c>
      <c r="C49" s="49" t="s">
        <v>89</v>
      </c>
      <c r="D49" s="140" t="s">
        <v>224</v>
      </c>
      <c r="E49" s="140"/>
      <c r="F49" s="140"/>
      <c r="G49" s="140"/>
      <c r="H49" s="140"/>
      <c r="I49" s="140"/>
      <c r="J49" s="140"/>
      <c r="K49" s="19"/>
    </row>
    <row r="50" spans="1:11" s="10" customFormat="1" ht="25.35" customHeight="1">
      <c r="A50" s="19"/>
      <c r="B50" s="20" t="s">
        <v>225</v>
      </c>
      <c r="C50" s="49" t="s">
        <v>226</v>
      </c>
      <c r="D50" s="140" t="s">
        <v>227</v>
      </c>
      <c r="E50" s="140"/>
      <c r="F50" s="140"/>
      <c r="G50" s="140"/>
      <c r="H50" s="140"/>
      <c r="I50" s="140"/>
      <c r="J50" s="140"/>
      <c r="K50" s="19"/>
    </row>
    <row r="51" spans="1:11" s="10" customFormat="1" ht="25.35" customHeight="1">
      <c r="A51" s="19"/>
      <c r="B51" s="20" t="s">
        <v>228</v>
      </c>
      <c r="C51" s="21" t="s">
        <v>229</v>
      </c>
      <c r="D51" s="140" t="s">
        <v>230</v>
      </c>
      <c r="E51" s="140"/>
      <c r="F51" s="140"/>
      <c r="G51" s="140"/>
      <c r="H51" s="140"/>
      <c r="I51" s="140"/>
      <c r="J51" s="140"/>
      <c r="K51" s="19"/>
    </row>
    <row r="52" spans="1:11" s="10" customFormat="1" ht="25.35" customHeight="1">
      <c r="A52" s="19"/>
      <c r="B52" s="20" t="s">
        <v>146</v>
      </c>
      <c r="C52" s="25" t="s">
        <v>231</v>
      </c>
      <c r="D52" s="140" t="s">
        <v>232</v>
      </c>
      <c r="E52" s="140"/>
      <c r="F52" s="140"/>
      <c r="G52" s="140"/>
      <c r="H52" s="140"/>
      <c r="I52" s="140"/>
      <c r="J52" s="140"/>
      <c r="K52" s="19"/>
    </row>
    <row r="53" spans="1:11" ht="25.35" customHeight="1">
      <c r="A53" s="19"/>
      <c r="B53" s="20" t="s">
        <v>146</v>
      </c>
      <c r="C53" s="25" t="s">
        <v>233</v>
      </c>
      <c r="D53" s="140" t="s">
        <v>234</v>
      </c>
      <c r="E53" s="140"/>
      <c r="F53" s="140"/>
      <c r="G53" s="140"/>
      <c r="H53" s="140"/>
      <c r="I53" s="140"/>
      <c r="J53" s="140"/>
      <c r="K53" s="19"/>
    </row>
    <row r="54" spans="1:11" ht="25.35" customHeight="1">
      <c r="A54" s="78"/>
      <c r="B54" s="79" t="s">
        <v>146</v>
      </c>
      <c r="C54" s="80" t="s">
        <v>235</v>
      </c>
      <c r="D54" s="149" t="s">
        <v>236</v>
      </c>
      <c r="E54" s="149"/>
      <c r="F54" s="149"/>
      <c r="G54" s="149"/>
      <c r="H54" s="149"/>
      <c r="I54" s="149"/>
      <c r="J54" s="149"/>
      <c r="K54" s="78"/>
    </row>
    <row r="55" spans="1:11" ht="25.35" customHeight="1">
      <c r="A55" s="81"/>
      <c r="B55" s="82">
        <v>5</v>
      </c>
      <c r="C55" s="83" t="s">
        <v>237</v>
      </c>
      <c r="D55" s="150"/>
      <c r="E55" s="150"/>
      <c r="F55" s="150"/>
      <c r="G55" s="150"/>
      <c r="H55" s="150"/>
      <c r="I55" s="150"/>
      <c r="J55" s="150"/>
      <c r="K55" s="81"/>
    </row>
    <row r="56" spans="1:11" ht="25.35" customHeight="1">
      <c r="A56" s="87"/>
      <c r="B56" s="88" t="s">
        <v>154</v>
      </c>
      <c r="C56" s="89" t="s">
        <v>128</v>
      </c>
      <c r="D56" s="146" t="s">
        <v>201</v>
      </c>
      <c r="E56" s="146"/>
      <c r="F56" s="146"/>
      <c r="G56" s="146"/>
      <c r="H56" s="146"/>
      <c r="I56" s="146"/>
      <c r="J56" s="146"/>
      <c r="K56" s="87"/>
    </row>
    <row r="57" spans="1:11" s="10" customFormat="1" ht="25.35" customHeight="1">
      <c r="B57" s="90" t="s">
        <v>157</v>
      </c>
      <c r="C57" s="91" t="s">
        <v>8</v>
      </c>
      <c r="D57" s="151" t="s">
        <v>238</v>
      </c>
      <c r="E57" s="151"/>
      <c r="F57" s="151"/>
      <c r="G57" s="151"/>
      <c r="H57" s="151"/>
      <c r="I57" s="151"/>
      <c r="J57" s="151"/>
    </row>
    <row r="58" spans="1:11" s="10" customFormat="1" ht="25.35" customHeight="1">
      <c r="A58" s="87"/>
      <c r="B58" s="88" t="s">
        <v>159</v>
      </c>
      <c r="C58" s="92" t="s">
        <v>17</v>
      </c>
      <c r="D58" s="146" t="s">
        <v>173</v>
      </c>
      <c r="E58" s="146"/>
      <c r="F58" s="146"/>
      <c r="G58" s="146"/>
      <c r="H58" s="146"/>
      <c r="I58" s="146"/>
      <c r="J58" s="146"/>
      <c r="K58" s="87"/>
    </row>
    <row r="59" spans="1:11" s="10" customFormat="1" ht="25.35" customHeight="1">
      <c r="B59" s="90" t="s">
        <v>161</v>
      </c>
      <c r="C59" s="91" t="s">
        <v>239</v>
      </c>
      <c r="D59" s="151" t="s">
        <v>240</v>
      </c>
      <c r="E59" s="151"/>
      <c r="F59" s="151"/>
      <c r="G59" s="151"/>
      <c r="H59" s="151"/>
      <c r="I59" s="151"/>
      <c r="J59" s="151"/>
    </row>
    <row r="60" spans="1:11" s="10" customFormat="1" ht="25.35" customHeight="1">
      <c r="A60" s="87"/>
      <c r="B60" s="88" t="s">
        <v>163</v>
      </c>
      <c r="C60" s="92" t="s">
        <v>76</v>
      </c>
      <c r="D60" s="146" t="s">
        <v>207</v>
      </c>
      <c r="E60" s="146"/>
      <c r="F60" s="146"/>
      <c r="G60" s="146"/>
      <c r="H60" s="146"/>
      <c r="I60" s="146"/>
      <c r="J60" s="146"/>
      <c r="K60" s="87"/>
    </row>
    <row r="61" spans="1:11" s="10" customFormat="1" ht="25.35" customHeight="1">
      <c r="A61" s="87"/>
      <c r="B61" s="88" t="s">
        <v>165</v>
      </c>
      <c r="C61" s="89" t="s">
        <v>20</v>
      </c>
      <c r="D61" s="146" t="s">
        <v>182</v>
      </c>
      <c r="E61" s="146"/>
      <c r="F61" s="146"/>
      <c r="G61" s="146"/>
      <c r="H61" s="146"/>
      <c r="I61" s="146"/>
      <c r="J61" s="146"/>
      <c r="K61" s="87"/>
    </row>
    <row r="62" spans="1:11" ht="25.35" customHeight="1">
      <c r="A62" s="92"/>
      <c r="B62" s="84" t="s">
        <v>146</v>
      </c>
      <c r="C62" s="85" t="s">
        <v>241</v>
      </c>
      <c r="D62" s="146" t="s">
        <v>234</v>
      </c>
      <c r="E62" s="146"/>
      <c r="F62" s="146"/>
      <c r="G62" s="146"/>
      <c r="H62" s="146"/>
      <c r="I62" s="146"/>
      <c r="J62" s="146"/>
      <c r="K62" s="86"/>
    </row>
    <row r="63" spans="1:11" ht="25.35" customHeight="1">
      <c r="A63" s="93"/>
      <c r="B63" s="84" t="s">
        <v>146</v>
      </c>
      <c r="C63" s="85" t="s">
        <v>242</v>
      </c>
      <c r="D63" s="133" t="s">
        <v>243</v>
      </c>
      <c r="E63" s="133"/>
      <c r="F63" s="133"/>
      <c r="G63" s="133"/>
      <c r="H63" s="133"/>
      <c r="I63" s="133"/>
      <c r="J63" s="133"/>
      <c r="K63" s="86"/>
    </row>
    <row r="64" spans="1:11" ht="25.35" customHeight="1">
      <c r="A64" s="134" t="s">
        <v>244</v>
      </c>
      <c r="B64" s="134"/>
      <c r="C64" s="134"/>
      <c r="D64" s="134"/>
      <c r="E64" s="134"/>
      <c r="F64" s="134"/>
      <c r="G64" s="134"/>
      <c r="H64" s="134"/>
      <c r="I64" s="134"/>
      <c r="J64" s="134"/>
      <c r="K64" s="134"/>
    </row>
    <row r="1048570" spans="16370:16384">
      <c r="XEP1048570" s="148" t="s">
        <v>49</v>
      </c>
      <c r="XEQ1048570" s="148"/>
      <c r="XER1048570" s="148"/>
      <c r="XES1048570" s="148"/>
      <c r="XET1048570" s="148"/>
      <c r="XEU1048570" s="148"/>
      <c r="XEV1048570" s="148"/>
      <c r="XEW1048570" s="148"/>
      <c r="XEX1048570" s="148"/>
      <c r="XEY1048570" s="148"/>
      <c r="XEZ1048570" s="148"/>
      <c r="XFA1048570" s="148"/>
      <c r="XFB1048570" s="148"/>
      <c r="XFC1048570" s="148"/>
      <c r="XFD1048570" s="148"/>
    </row>
    <row r="1048571" spans="16370:16384">
      <c r="XEP1048571" s="148"/>
      <c r="XEQ1048571" s="148"/>
      <c r="XER1048571" s="148"/>
      <c r="XES1048571" s="148"/>
      <c r="XET1048571" s="148"/>
      <c r="XEU1048571" s="148"/>
      <c r="XEV1048571" s="148"/>
      <c r="XEW1048571" s="148"/>
      <c r="XEX1048571" s="148"/>
      <c r="XEY1048571" s="148"/>
      <c r="XEZ1048571" s="148"/>
      <c r="XFA1048571" s="148"/>
      <c r="XFB1048571" s="148"/>
      <c r="XFC1048571" s="148"/>
      <c r="XFD1048571" s="148"/>
    </row>
    <row r="1048572" spans="16370:16384">
      <c r="XEP1048572" s="148"/>
      <c r="XEQ1048572" s="148"/>
      <c r="XER1048572" s="148"/>
      <c r="XES1048572" s="148"/>
      <c r="XET1048572" s="148"/>
      <c r="XEU1048572" s="148"/>
      <c r="XEV1048572" s="148"/>
      <c r="XEW1048572" s="148"/>
      <c r="XEX1048572" s="148"/>
      <c r="XEY1048572" s="148"/>
      <c r="XEZ1048572" s="148"/>
      <c r="XFA1048572" s="148"/>
      <c r="XFB1048572" s="148"/>
      <c r="XFC1048572" s="148"/>
      <c r="XFD1048572" s="148"/>
    </row>
    <row r="1048573" spans="16370:16384">
      <c r="XEP1048573" s="148"/>
      <c r="XEQ1048573" s="148"/>
      <c r="XER1048573" s="148"/>
      <c r="XES1048573" s="148"/>
      <c r="XET1048573" s="148"/>
      <c r="XEU1048573" s="148"/>
      <c r="XEV1048573" s="148"/>
      <c r="XEW1048573" s="148"/>
      <c r="XEX1048573" s="148"/>
      <c r="XEY1048573" s="148"/>
      <c r="XEZ1048573" s="148"/>
      <c r="XFA1048573" s="148"/>
      <c r="XFB1048573" s="148"/>
      <c r="XFC1048573" s="148"/>
      <c r="XFD1048573" s="148"/>
    </row>
    <row r="1048574" spans="16370:16384">
      <c r="XEP1048574" s="148"/>
      <c r="XEQ1048574" s="148"/>
      <c r="XER1048574" s="148"/>
      <c r="XES1048574" s="148"/>
      <c r="XET1048574" s="148"/>
      <c r="XEU1048574" s="148"/>
      <c r="XEV1048574" s="148"/>
      <c r="XEW1048574" s="148"/>
      <c r="XEX1048574" s="148"/>
      <c r="XEY1048574" s="148"/>
      <c r="XEZ1048574" s="148"/>
      <c r="XFA1048574" s="148"/>
      <c r="XFB1048574" s="148"/>
      <c r="XFC1048574" s="148"/>
      <c r="XFD1048574" s="148"/>
    </row>
    <row r="1048575" spans="16370:16384">
      <c r="XEP1048575" s="148"/>
      <c r="XEQ1048575" s="148"/>
      <c r="XER1048575" s="148"/>
      <c r="XES1048575" s="148"/>
      <c r="XET1048575" s="148"/>
      <c r="XEU1048575" s="148"/>
      <c r="XEV1048575" s="148"/>
      <c r="XEW1048575" s="148"/>
      <c r="XEX1048575" s="148"/>
      <c r="XEY1048575" s="148"/>
      <c r="XEZ1048575" s="148"/>
      <c r="XFA1048575" s="148"/>
      <c r="XFB1048575" s="148"/>
      <c r="XFC1048575" s="148"/>
      <c r="XFD1048575" s="148"/>
    </row>
    <row r="1048576" spans="16370:16384">
      <c r="XEP1048576" s="148"/>
      <c r="XEQ1048576" s="148"/>
      <c r="XER1048576" s="148"/>
      <c r="XES1048576" s="148"/>
      <c r="XET1048576" s="148"/>
      <c r="XEU1048576" s="148"/>
      <c r="XEV1048576" s="148"/>
      <c r="XEW1048576" s="148"/>
      <c r="XEX1048576" s="148"/>
      <c r="XEY1048576" s="148"/>
      <c r="XEZ1048576" s="148"/>
      <c r="XFA1048576" s="148"/>
      <c r="XFB1048576" s="148"/>
      <c r="XFC1048576" s="148"/>
      <c r="XFD1048576" s="148"/>
    </row>
  </sheetData>
  <sheetProtection algorithmName="SHA-512" hashValue="PJz3QPz7KM6mMPkntP73aiJfXddk7GpfuAOzVoCjcWf2o3gRCaD8y8rRHv6wzjipFC0MEWCwL9yvTQ0fLcgwrg==" saltValue="bz6M/avYgM5kMD1wrkfA3Q==" spinCount="100000" sheet="1" objects="1" scenarios="1"/>
  <mergeCells count="65">
    <mergeCell ref="D8:J8"/>
    <mergeCell ref="XEP1048570:XFD1048576"/>
    <mergeCell ref="D45:J45"/>
    <mergeCell ref="D51:J51"/>
    <mergeCell ref="D52:J52"/>
    <mergeCell ref="D53:J53"/>
    <mergeCell ref="D54:J54"/>
    <mergeCell ref="D49:J49"/>
    <mergeCell ref="D50:J50"/>
    <mergeCell ref="D55:J55"/>
    <mergeCell ref="D56:J56"/>
    <mergeCell ref="D57:J57"/>
    <mergeCell ref="D58:J58"/>
    <mergeCell ref="D59:J59"/>
    <mergeCell ref="D60:J60"/>
    <mergeCell ref="D61:J61"/>
    <mergeCell ref="D62:J62"/>
    <mergeCell ref="A1:K1"/>
    <mergeCell ref="D2:J2"/>
    <mergeCell ref="D46:J46"/>
    <mergeCell ref="D47:J47"/>
    <mergeCell ref="D48:J48"/>
    <mergeCell ref="D42:J42"/>
    <mergeCell ref="D21:J21"/>
    <mergeCell ref="D33:J33"/>
    <mergeCell ref="D37:J37"/>
    <mergeCell ref="D43:J43"/>
    <mergeCell ref="D44:J44"/>
    <mergeCell ref="D35:J35"/>
    <mergeCell ref="D36:J36"/>
    <mergeCell ref="D38:J38"/>
    <mergeCell ref="D39:J39"/>
    <mergeCell ref="D40:J40"/>
    <mergeCell ref="D41:J41"/>
    <mergeCell ref="D29:J29"/>
    <mergeCell ref="D30:J30"/>
    <mergeCell ref="D31:J31"/>
    <mergeCell ref="D32:J32"/>
    <mergeCell ref="D34:J34"/>
    <mergeCell ref="D23:J23"/>
    <mergeCell ref="D26:J26"/>
    <mergeCell ref="D27:J27"/>
    <mergeCell ref="D24:J24"/>
    <mergeCell ref="D25:J25"/>
    <mergeCell ref="D17:J17"/>
    <mergeCell ref="D18:J18"/>
    <mergeCell ref="D19:J19"/>
    <mergeCell ref="D20:J20"/>
    <mergeCell ref="D22:J22"/>
    <mergeCell ref="D63:J63"/>
    <mergeCell ref="A64:K64"/>
    <mergeCell ref="D13:J13"/>
    <mergeCell ref="D3:J3"/>
    <mergeCell ref="D4:J4"/>
    <mergeCell ref="D5:J5"/>
    <mergeCell ref="D6:J6"/>
    <mergeCell ref="D7:J7"/>
    <mergeCell ref="D10:J10"/>
    <mergeCell ref="D9:J9"/>
    <mergeCell ref="D11:J11"/>
    <mergeCell ref="D12:J12"/>
    <mergeCell ref="D28:J28"/>
    <mergeCell ref="D14:J14"/>
    <mergeCell ref="D15:J15"/>
    <mergeCell ref="D16:J16"/>
  </mergeCells>
  <hyperlinks>
    <hyperlink ref="D26:J26" r:id="rId1" display="Fill in the Quiz Publishing form (https://cs.co/BBAQuizv1)." xr:uid="{2FAC814D-1836-411E-8908-D52E8D9404CB}"/>
    <hyperlink ref="D54:J54" r:id="rId2" display="Fill in the Learning Plan Publishing form (https://cs.co/BBALPlanv1)." xr:uid="{7B647658-E7B8-4821-9FFF-DDC558EDF837}"/>
    <hyperlink ref="D63:J63" r:id="rId3" display="Fill in the Learning Plan Publishing form (https://cs.co/BBALPlanv1)." xr:uid="{314815B4-56F0-436A-846C-9C054706602E}"/>
    <hyperlink ref="A1:K1" r:id="rId4" display="Appinium Intake Guidelines v1" xr:uid="{3D25FFAE-29BA-4646-9D72-CDAB6D2698BB}"/>
    <hyperlink ref="D25:J25" r:id="rId5" display="Upload the accurately filled template in a folder named after the series to which it belongs in Mindtickle Publishing folder." xr:uid="{BA0A60B3-385C-4F25-A919-63DC2A887BAE}"/>
    <hyperlink ref="D53:J53" r:id="rId6" display="Upload the accurately filled template in a folder named after the series to which it belongs in Mindtickle Publishing folder." xr:uid="{A935FDEE-7290-4E14-8FF4-77987B8C848B}"/>
    <hyperlink ref="D62:J62" r:id="rId7" display="Upload the accurately filled template in a folder named after the series to which it belongs in Mindtickle Publishing folder." xr:uid="{B223E39B-4F68-46AF-98B1-B8F147B36EC6}"/>
  </hyperlinks>
  <pageMargins left="0.7" right="0.7" top="0.75" bottom="0.75" header="0.3" footer="0.3"/>
  <pageSetup orientation="portrait" r:id="rId8"/>
  <headerFooter>
    <oddFooter>&amp;R_x000D_&amp;1#&amp;"Calibri"&amp;8&amp;K000000 Cisco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96683-FA6D-45ED-808B-34DE504B619E}">
  <dimension ref="A1:W113"/>
  <sheetViews>
    <sheetView workbookViewId="0">
      <selection activeCell="P26" sqref="P26"/>
    </sheetView>
  </sheetViews>
  <sheetFormatPr defaultColWidth="8.7109375" defaultRowHeight="14.45"/>
  <cols>
    <col min="1" max="1" width="15.42578125" customWidth="1"/>
    <col min="3" max="3" width="22.7109375" customWidth="1"/>
    <col min="7" max="7" width="5.42578125" customWidth="1"/>
    <col min="11" max="11" width="13.28515625" customWidth="1"/>
    <col min="13" max="13" width="13.7109375" customWidth="1"/>
    <col min="15" max="15" width="13.28515625" customWidth="1"/>
    <col min="23" max="23" width="10.28515625" customWidth="1"/>
  </cols>
  <sheetData>
    <row r="1" spans="1:23">
      <c r="A1" t="s">
        <v>245</v>
      </c>
      <c r="C1" t="s">
        <v>12</v>
      </c>
      <c r="E1" t="s">
        <v>9</v>
      </c>
      <c r="G1" t="s">
        <v>194</v>
      </c>
      <c r="I1" t="s">
        <v>79</v>
      </c>
      <c r="K1" t="s">
        <v>83</v>
      </c>
      <c r="M1" t="s">
        <v>246</v>
      </c>
      <c r="O1" t="s">
        <v>88</v>
      </c>
      <c r="Q1" s="39" t="s">
        <v>83</v>
      </c>
      <c r="R1" s="39">
        <v>1</v>
      </c>
      <c r="S1" s="39">
        <v>2</v>
      </c>
      <c r="T1" s="39">
        <v>3</v>
      </c>
      <c r="U1" s="39" t="s">
        <v>247</v>
      </c>
      <c r="W1" t="s">
        <v>248</v>
      </c>
    </row>
    <row r="2" spans="1:23">
      <c r="A2" t="s">
        <v>35</v>
      </c>
      <c r="C2" t="s">
        <v>249</v>
      </c>
      <c r="E2" t="s">
        <v>10</v>
      </c>
      <c r="G2" t="s">
        <v>40</v>
      </c>
      <c r="I2">
        <v>1</v>
      </c>
      <c r="K2" t="s">
        <v>250</v>
      </c>
      <c r="M2" t="s">
        <v>95</v>
      </c>
      <c r="O2" t="s">
        <v>251</v>
      </c>
      <c r="Q2" s="40" t="s">
        <v>250</v>
      </c>
      <c r="R2" s="40" t="s">
        <v>3</v>
      </c>
      <c r="S2" s="40" t="s">
        <v>3</v>
      </c>
      <c r="T2" s="40" t="s">
        <v>3</v>
      </c>
      <c r="U2" s="40" t="s">
        <v>3</v>
      </c>
      <c r="W2" s="43" t="s">
        <v>252</v>
      </c>
    </row>
    <row r="3" spans="1:23">
      <c r="A3" t="s">
        <v>44</v>
      </c>
      <c r="C3" t="s">
        <v>253</v>
      </c>
      <c r="E3" t="s">
        <v>254</v>
      </c>
      <c r="G3" t="s">
        <v>38</v>
      </c>
      <c r="I3">
        <v>2</v>
      </c>
      <c r="K3" t="s">
        <v>255</v>
      </c>
      <c r="M3" t="s">
        <v>256</v>
      </c>
      <c r="O3" t="s">
        <v>257</v>
      </c>
      <c r="Q3" s="41" t="s">
        <v>255</v>
      </c>
      <c r="R3" s="41" t="s">
        <v>258</v>
      </c>
      <c r="S3" s="41" t="s">
        <v>259</v>
      </c>
      <c r="T3" s="41" t="s">
        <v>3</v>
      </c>
      <c r="U3" s="41" t="s">
        <v>3</v>
      </c>
      <c r="W3" t="s">
        <v>260</v>
      </c>
    </row>
    <row r="4" spans="1:23">
      <c r="A4" t="s">
        <v>47</v>
      </c>
      <c r="C4" t="s">
        <v>21</v>
      </c>
      <c r="E4" t="s">
        <v>261</v>
      </c>
      <c r="I4">
        <v>3</v>
      </c>
      <c r="K4" t="s">
        <v>84</v>
      </c>
      <c r="M4" t="s">
        <v>262</v>
      </c>
      <c r="O4" t="s">
        <v>263</v>
      </c>
      <c r="Q4" s="40" t="s">
        <v>84</v>
      </c>
      <c r="R4" s="40" t="s">
        <v>264</v>
      </c>
      <c r="S4" s="40" t="s">
        <v>265</v>
      </c>
      <c r="T4" s="40" t="s">
        <v>266</v>
      </c>
      <c r="U4" s="40" t="s">
        <v>3</v>
      </c>
      <c r="W4" s="43" t="s">
        <v>267</v>
      </c>
    </row>
    <row r="5" spans="1:23">
      <c r="E5" t="s">
        <v>268</v>
      </c>
      <c r="I5" t="s">
        <v>247</v>
      </c>
      <c r="K5" t="s">
        <v>269</v>
      </c>
      <c r="O5" t="s">
        <v>270</v>
      </c>
      <c r="Q5" s="41" t="s">
        <v>269</v>
      </c>
      <c r="R5" s="41" t="s">
        <v>271</v>
      </c>
      <c r="S5" s="41" t="s">
        <v>272</v>
      </c>
      <c r="T5" s="41" t="s">
        <v>3</v>
      </c>
      <c r="U5" s="41" t="s">
        <v>3</v>
      </c>
      <c r="W5" s="43" t="s">
        <v>273</v>
      </c>
    </row>
    <row r="6" spans="1:23">
      <c r="E6" t="s">
        <v>274</v>
      </c>
      <c r="K6" t="s">
        <v>275</v>
      </c>
      <c r="O6" t="s">
        <v>276</v>
      </c>
      <c r="Q6" s="40" t="s">
        <v>275</v>
      </c>
      <c r="R6" s="40" t="s">
        <v>277</v>
      </c>
      <c r="S6" s="40" t="s">
        <v>278</v>
      </c>
      <c r="T6" s="40" t="s">
        <v>279</v>
      </c>
      <c r="U6" s="40" t="s">
        <v>3</v>
      </c>
      <c r="W6" s="43" t="s">
        <v>280</v>
      </c>
    </row>
    <row r="7" spans="1:23">
      <c r="E7" t="s">
        <v>281</v>
      </c>
      <c r="K7" t="s">
        <v>282</v>
      </c>
      <c r="O7" t="s">
        <v>283</v>
      </c>
      <c r="Q7" s="41" t="s">
        <v>282</v>
      </c>
      <c r="R7" s="41" t="s">
        <v>284</v>
      </c>
      <c r="S7" s="41" t="s">
        <v>285</v>
      </c>
      <c r="T7" s="41" t="s">
        <v>286</v>
      </c>
      <c r="U7" s="41" t="s">
        <v>3</v>
      </c>
      <c r="W7" t="s">
        <v>287</v>
      </c>
    </row>
    <row r="8" spans="1:23">
      <c r="E8" t="s">
        <v>288</v>
      </c>
      <c r="K8" t="s">
        <v>289</v>
      </c>
      <c r="O8" t="s">
        <v>290</v>
      </c>
      <c r="Q8" s="40" t="s">
        <v>289</v>
      </c>
      <c r="R8" s="40" t="s">
        <v>291</v>
      </c>
      <c r="S8" s="40" t="s">
        <v>292</v>
      </c>
      <c r="T8" s="40" t="s">
        <v>293</v>
      </c>
      <c r="U8" s="40" t="s">
        <v>3</v>
      </c>
      <c r="W8" s="43" t="s">
        <v>294</v>
      </c>
    </row>
    <row r="9" spans="1:23">
      <c r="E9" t="s">
        <v>295</v>
      </c>
      <c r="K9" t="s">
        <v>296</v>
      </c>
      <c r="O9" t="s">
        <v>297</v>
      </c>
      <c r="Q9" s="41" t="s">
        <v>296</v>
      </c>
      <c r="R9" s="41" t="s">
        <v>298</v>
      </c>
      <c r="S9" s="41" t="s">
        <v>299</v>
      </c>
      <c r="T9" s="41" t="s">
        <v>3</v>
      </c>
      <c r="U9" s="41" t="s">
        <v>3</v>
      </c>
      <c r="W9" s="43" t="s">
        <v>300</v>
      </c>
    </row>
    <row r="10" spans="1:23">
      <c r="E10" t="s">
        <v>301</v>
      </c>
      <c r="K10" t="s">
        <v>302</v>
      </c>
      <c r="O10" t="s">
        <v>303</v>
      </c>
      <c r="Q10" s="40" t="s">
        <v>302</v>
      </c>
      <c r="R10" s="40" t="s">
        <v>304</v>
      </c>
      <c r="S10" s="40" t="s">
        <v>305</v>
      </c>
      <c r="T10" s="40" t="s">
        <v>306</v>
      </c>
      <c r="U10" s="40" t="s">
        <v>3</v>
      </c>
      <c r="W10" s="43" t="s">
        <v>307</v>
      </c>
    </row>
    <row r="11" spans="1:23">
      <c r="A11" s="1"/>
      <c r="E11" t="s">
        <v>308</v>
      </c>
      <c r="K11" t="s">
        <v>309</v>
      </c>
      <c r="O11" t="s">
        <v>310</v>
      </c>
      <c r="Q11" s="41" t="s">
        <v>309</v>
      </c>
      <c r="R11" s="41" t="s">
        <v>311</v>
      </c>
      <c r="S11" s="41" t="s">
        <v>312</v>
      </c>
      <c r="T11" s="41" t="s">
        <v>313</v>
      </c>
      <c r="U11" s="41" t="s">
        <v>3</v>
      </c>
      <c r="W11" s="43" t="s">
        <v>314</v>
      </c>
    </row>
    <row r="12" spans="1:23">
      <c r="E12" t="s">
        <v>315</v>
      </c>
      <c r="K12" t="s">
        <v>316</v>
      </c>
      <c r="O12" t="s">
        <v>102</v>
      </c>
      <c r="Q12" s="40" t="s">
        <v>316</v>
      </c>
      <c r="R12" s="40" t="s">
        <v>317</v>
      </c>
      <c r="S12" s="40" t="s">
        <v>318</v>
      </c>
      <c r="T12" s="40" t="s">
        <v>319</v>
      </c>
      <c r="U12" s="40" t="s">
        <v>3</v>
      </c>
      <c r="W12" s="43" t="s">
        <v>320</v>
      </c>
    </row>
    <row r="13" spans="1:23">
      <c r="K13" t="s">
        <v>321</v>
      </c>
      <c r="O13" t="s">
        <v>322</v>
      </c>
      <c r="Q13" s="41" t="s">
        <v>321</v>
      </c>
      <c r="R13" s="41" t="s">
        <v>323</v>
      </c>
      <c r="S13" s="41" t="s">
        <v>324</v>
      </c>
      <c r="T13" s="41" t="s">
        <v>325</v>
      </c>
      <c r="U13" s="41" t="s">
        <v>3</v>
      </c>
      <c r="W13" s="43" t="s">
        <v>326</v>
      </c>
    </row>
    <row r="14" spans="1:23">
      <c r="K14" t="s">
        <v>327</v>
      </c>
      <c r="O14" t="s">
        <v>328</v>
      </c>
      <c r="Q14" s="40" t="s">
        <v>327</v>
      </c>
      <c r="R14" s="40" t="s">
        <v>3</v>
      </c>
      <c r="S14" s="40" t="s">
        <v>329</v>
      </c>
      <c r="T14" s="40" t="s">
        <v>3</v>
      </c>
      <c r="U14" s="40" t="s">
        <v>3</v>
      </c>
      <c r="W14" s="43" t="s">
        <v>330</v>
      </c>
    </row>
    <row r="15" spans="1:23">
      <c r="A15" s="2"/>
      <c r="C15" s="1"/>
      <c r="K15" t="s">
        <v>331</v>
      </c>
      <c r="O15" t="s">
        <v>332</v>
      </c>
      <c r="Q15" s="41" t="s">
        <v>331</v>
      </c>
      <c r="R15" s="41" t="s">
        <v>3</v>
      </c>
      <c r="S15" s="41" t="s">
        <v>3</v>
      </c>
      <c r="T15" s="41" t="s">
        <v>3</v>
      </c>
      <c r="U15" s="41" t="s">
        <v>3</v>
      </c>
      <c r="W15" s="43" t="s">
        <v>333</v>
      </c>
    </row>
    <row r="16" spans="1:23">
      <c r="B16" s="1"/>
      <c r="D16" s="1"/>
      <c r="E16" s="1"/>
      <c r="O16" t="s">
        <v>334</v>
      </c>
      <c r="W16" s="43" t="s">
        <v>335</v>
      </c>
    </row>
    <row r="17" spans="15:23">
      <c r="O17" t="s">
        <v>336</v>
      </c>
      <c r="W17" s="43" t="s">
        <v>337</v>
      </c>
    </row>
    <row r="18" spans="15:23">
      <c r="O18" t="s">
        <v>338</v>
      </c>
      <c r="W18" s="43" t="s">
        <v>339</v>
      </c>
    </row>
    <row r="19" spans="15:23">
      <c r="W19" s="43" t="s">
        <v>340</v>
      </c>
    </row>
    <row r="20" spans="15:23">
      <c r="W20" s="43" t="s">
        <v>341</v>
      </c>
    </row>
    <row r="21" spans="15:23">
      <c r="W21" s="43" t="s">
        <v>342</v>
      </c>
    </row>
    <row r="22" spans="15:23">
      <c r="V22" t="s">
        <v>3</v>
      </c>
      <c r="W22" s="43" t="s">
        <v>343</v>
      </c>
    </row>
    <row r="23" spans="15:23">
      <c r="W23" s="43" t="s">
        <v>344</v>
      </c>
    </row>
    <row r="24" spans="15:23">
      <c r="W24" s="43" t="s">
        <v>345</v>
      </c>
    </row>
    <row r="25" spans="15:23">
      <c r="W25" s="43" t="s">
        <v>346</v>
      </c>
    </row>
    <row r="26" spans="15:23">
      <c r="W26" s="43" t="s">
        <v>347</v>
      </c>
    </row>
    <row r="27" spans="15:23">
      <c r="W27" s="43" t="s">
        <v>348</v>
      </c>
    </row>
    <row r="28" spans="15:23">
      <c r="W28" s="43" t="s">
        <v>349</v>
      </c>
    </row>
    <row r="29" spans="15:23">
      <c r="W29" s="43" t="s">
        <v>350</v>
      </c>
    </row>
    <row r="30" spans="15:23">
      <c r="W30" s="43" t="s">
        <v>351</v>
      </c>
    </row>
    <row r="31" spans="15:23">
      <c r="W31" s="43" t="s">
        <v>352</v>
      </c>
    </row>
    <row r="32" spans="15:23">
      <c r="W32" s="43" t="s">
        <v>353</v>
      </c>
    </row>
    <row r="33" spans="23:23">
      <c r="W33" s="43" t="s">
        <v>354</v>
      </c>
    </row>
    <row r="34" spans="23:23">
      <c r="W34" t="s">
        <v>355</v>
      </c>
    </row>
    <row r="35" spans="23:23">
      <c r="W35" s="43" t="s">
        <v>356</v>
      </c>
    </row>
    <row r="36" spans="23:23">
      <c r="W36" s="43" t="s">
        <v>357</v>
      </c>
    </row>
    <row r="37" spans="23:23">
      <c r="W37" s="43" t="s">
        <v>358</v>
      </c>
    </row>
    <row r="38" spans="23:23">
      <c r="W38" s="43" t="s">
        <v>359</v>
      </c>
    </row>
    <row r="39" spans="23:23">
      <c r="W39" s="43" t="s">
        <v>360</v>
      </c>
    </row>
    <row r="40" spans="23:23">
      <c r="W40" s="43" t="s">
        <v>361</v>
      </c>
    </row>
    <row r="41" spans="23:23">
      <c r="W41" s="43" t="s">
        <v>362</v>
      </c>
    </row>
    <row r="42" spans="23:23">
      <c r="W42" s="43" t="s">
        <v>363</v>
      </c>
    </row>
    <row r="43" spans="23:23">
      <c r="W43" s="43" t="s">
        <v>364</v>
      </c>
    </row>
    <row r="44" spans="23:23">
      <c r="W44" s="43" t="s">
        <v>365</v>
      </c>
    </row>
    <row r="45" spans="23:23">
      <c r="W45" s="43" t="s">
        <v>366</v>
      </c>
    </row>
    <row r="46" spans="23:23">
      <c r="W46" s="43" t="s">
        <v>367</v>
      </c>
    </row>
    <row r="47" spans="23:23">
      <c r="W47" t="s">
        <v>368</v>
      </c>
    </row>
    <row r="48" spans="23:23">
      <c r="W48" s="43" t="s">
        <v>369</v>
      </c>
    </row>
    <row r="49" spans="23:23">
      <c r="W49" s="43" t="s">
        <v>370</v>
      </c>
    </row>
    <row r="50" spans="23:23">
      <c r="W50" s="43" t="s">
        <v>371</v>
      </c>
    </row>
    <row r="51" spans="23:23">
      <c r="W51" s="43" t="s">
        <v>372</v>
      </c>
    </row>
    <row r="52" spans="23:23">
      <c r="W52" s="43" t="s">
        <v>373</v>
      </c>
    </row>
    <row r="53" spans="23:23">
      <c r="W53" s="43" t="s">
        <v>374</v>
      </c>
    </row>
    <row r="54" spans="23:23">
      <c r="W54" s="43" t="s">
        <v>375</v>
      </c>
    </row>
    <row r="55" spans="23:23">
      <c r="W55" s="43" t="s">
        <v>376</v>
      </c>
    </row>
    <row r="56" spans="23:23">
      <c r="W56" s="43" t="s">
        <v>377</v>
      </c>
    </row>
    <row r="57" spans="23:23">
      <c r="W57" s="43" t="s">
        <v>378</v>
      </c>
    </row>
    <row r="58" spans="23:23">
      <c r="W58" s="43" t="s">
        <v>379</v>
      </c>
    </row>
    <row r="59" spans="23:23">
      <c r="W59" s="43" t="s">
        <v>380</v>
      </c>
    </row>
    <row r="60" spans="23:23">
      <c r="W60" s="43" t="s">
        <v>381</v>
      </c>
    </row>
    <row r="61" spans="23:23">
      <c r="W61" s="43" t="s">
        <v>382</v>
      </c>
    </row>
    <row r="62" spans="23:23">
      <c r="W62" s="43" t="s">
        <v>383</v>
      </c>
    </row>
    <row r="63" spans="23:23">
      <c r="W63" s="43" t="s">
        <v>384</v>
      </c>
    </row>
    <row r="64" spans="23:23">
      <c r="W64" s="43" t="s">
        <v>385</v>
      </c>
    </row>
    <row r="65" spans="23:23">
      <c r="W65" s="43" t="s">
        <v>386</v>
      </c>
    </row>
    <row r="66" spans="23:23">
      <c r="W66" s="43" t="s">
        <v>387</v>
      </c>
    </row>
    <row r="67" spans="23:23">
      <c r="W67" s="43" t="s">
        <v>388</v>
      </c>
    </row>
    <row r="68" spans="23:23">
      <c r="W68" t="s">
        <v>389</v>
      </c>
    </row>
    <row r="69" spans="23:23">
      <c r="W69" s="43" t="s">
        <v>390</v>
      </c>
    </row>
    <row r="70" spans="23:23">
      <c r="W70" s="43" t="s">
        <v>391</v>
      </c>
    </row>
    <row r="71" spans="23:23">
      <c r="W71" t="s">
        <v>392</v>
      </c>
    </row>
    <row r="72" spans="23:23">
      <c r="W72" s="43" t="s">
        <v>393</v>
      </c>
    </row>
    <row r="73" spans="23:23">
      <c r="W73" s="43" t="s">
        <v>394</v>
      </c>
    </row>
    <row r="74" spans="23:23">
      <c r="W74" s="43" t="s">
        <v>395</v>
      </c>
    </row>
    <row r="75" spans="23:23">
      <c r="W75" s="43" t="s">
        <v>396</v>
      </c>
    </row>
    <row r="76" spans="23:23">
      <c r="W76" s="43" t="s">
        <v>397</v>
      </c>
    </row>
    <row r="77" spans="23:23">
      <c r="W77" s="43" t="s">
        <v>398</v>
      </c>
    </row>
    <row r="78" spans="23:23">
      <c r="W78" s="43" t="s">
        <v>399</v>
      </c>
    </row>
    <row r="79" spans="23:23">
      <c r="W79" s="43" t="s">
        <v>400</v>
      </c>
    </row>
    <row r="80" spans="23:23">
      <c r="W80" s="43" t="s">
        <v>401</v>
      </c>
    </row>
    <row r="81" spans="23:23">
      <c r="W81" s="43" t="s">
        <v>402</v>
      </c>
    </row>
    <row r="82" spans="23:23">
      <c r="W82" s="43" t="s">
        <v>403</v>
      </c>
    </row>
    <row r="83" spans="23:23">
      <c r="W83" s="43" t="s">
        <v>404</v>
      </c>
    </row>
    <row r="84" spans="23:23">
      <c r="W84" s="43" t="s">
        <v>405</v>
      </c>
    </row>
    <row r="85" spans="23:23">
      <c r="W85" s="43" t="s">
        <v>406</v>
      </c>
    </row>
    <row r="86" spans="23:23">
      <c r="W86" s="43" t="s">
        <v>407</v>
      </c>
    </row>
    <row r="87" spans="23:23">
      <c r="W87" s="43" t="s">
        <v>408</v>
      </c>
    </row>
    <row r="88" spans="23:23">
      <c r="W88" s="43" t="s">
        <v>409</v>
      </c>
    </row>
    <row r="89" spans="23:23">
      <c r="W89" s="43" t="s">
        <v>410</v>
      </c>
    </row>
    <row r="90" spans="23:23">
      <c r="W90" s="43" t="s">
        <v>411</v>
      </c>
    </row>
    <row r="91" spans="23:23">
      <c r="W91" s="43" t="s">
        <v>412</v>
      </c>
    </row>
    <row r="92" spans="23:23">
      <c r="W92" t="s">
        <v>413</v>
      </c>
    </row>
    <row r="93" spans="23:23">
      <c r="W93" s="43" t="s">
        <v>414</v>
      </c>
    </row>
    <row r="94" spans="23:23">
      <c r="W94" s="43" t="s">
        <v>415</v>
      </c>
    </row>
    <row r="95" spans="23:23">
      <c r="W95" s="43" t="s">
        <v>416</v>
      </c>
    </row>
    <row r="96" spans="23:23">
      <c r="W96" s="43" t="s">
        <v>417</v>
      </c>
    </row>
    <row r="97" spans="23:23">
      <c r="W97" s="43" t="s">
        <v>418</v>
      </c>
    </row>
    <row r="98" spans="23:23">
      <c r="W98" s="43" t="s">
        <v>419</v>
      </c>
    </row>
    <row r="99" spans="23:23">
      <c r="W99" t="s">
        <v>420</v>
      </c>
    </row>
    <row r="100" spans="23:23">
      <c r="W100" s="43" t="s">
        <v>421</v>
      </c>
    </row>
    <row r="101" spans="23:23">
      <c r="W101" s="43" t="s">
        <v>422</v>
      </c>
    </row>
    <row r="102" spans="23:23">
      <c r="W102" s="43" t="s">
        <v>423</v>
      </c>
    </row>
    <row r="103" spans="23:23">
      <c r="W103" s="43" t="s">
        <v>424</v>
      </c>
    </row>
    <row r="104" spans="23:23">
      <c r="W104" s="43" t="s">
        <v>425</v>
      </c>
    </row>
    <row r="105" spans="23:23">
      <c r="W105" s="43" t="s">
        <v>426</v>
      </c>
    </row>
    <row r="106" spans="23:23">
      <c r="W106" s="43" t="s">
        <v>427</v>
      </c>
    </row>
    <row r="107" spans="23:23">
      <c r="W107" s="43" t="s">
        <v>428</v>
      </c>
    </row>
    <row r="108" spans="23:23">
      <c r="W108" s="43" t="s">
        <v>429</v>
      </c>
    </row>
    <row r="109" spans="23:23">
      <c r="W109" s="43" t="s">
        <v>430</v>
      </c>
    </row>
    <row r="110" spans="23:23">
      <c r="W110" s="43" t="s">
        <v>431</v>
      </c>
    </row>
    <row r="111" spans="23:23">
      <c r="W111" s="43" t="s">
        <v>432</v>
      </c>
    </row>
    <row r="112" spans="23:23">
      <c r="W112" s="43" t="s">
        <v>433</v>
      </c>
    </row>
    <row r="113" spans="23:23">
      <c r="W113" t="s">
        <v>434</v>
      </c>
    </row>
  </sheetData>
  <sheetProtection algorithmName="SHA-512" hashValue="6bZmYB8mxxGKTKWeH6BOHOUqQPfpdY8/6WEh0iK09KOt2MpMyoq6nGoSvfgHBy13o5/i0y0y5T0IRI5S202GGw==" saltValue="bW5QbM1ZBUHTGKtWsvNy9A==" spinCount="100000" sheet="1" objects="1" scenarios="1"/>
  <pageMargins left="0.7" right="0.7" top="0.75" bottom="0.75" header="0.3" footer="0.3"/>
  <pageSetup orientation="portrait" r:id="rId1"/>
  <headerFooter>
    <oddFooter>&amp;R_x000D_&amp;1#&amp;"Calibri"&amp;8&amp;K000000 Cisco Confidential</oddFooter>
  </headerFooter>
  <tableParts count="9">
    <tablePart r:id="rId2"/>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2fe3af0-13f8-489e-a2c4-b93171c87869" xsi:nil="true"/>
    <lcf76f155ced4ddcb4097134ff3c332f xmlns="cc4cf91f-ccb4-42ef-a228-35340cc32a14">
      <Terms xmlns="http://schemas.microsoft.com/office/infopath/2007/PartnerControls"/>
    </lcf76f155ced4ddcb4097134ff3c332f>
    <SharedWithUsers xmlns="12fe3af0-13f8-489e-a2c4-b93171c87869">
      <UserInfo>
        <DisplayName>Mayank Kumar -X (mayankk3)</DisplayName>
        <AccountId>1414</AccountId>
        <AccountType/>
      </UserInfo>
      <UserInfo>
        <DisplayName>Alejandro Rodriguez Molina (alejrodr)</DisplayName>
        <AccountId>76</AccountId>
        <AccountType/>
      </UserInfo>
      <UserInfo>
        <DisplayName>Prateek Sahdev (psahdev)</DisplayName>
        <AccountId>24</AccountId>
        <AccountType/>
      </UserInfo>
      <UserInfo>
        <DisplayName>Anshul Singh -X (anshulsi)</DisplayName>
        <AccountId>2799</AccountId>
        <AccountType/>
      </UserInfo>
      <UserInfo>
        <DisplayName>Santiago Bravo de los Rios -X (sbravode - CAPGEMINI AMERICA INC at Cisco)</DisplayName>
        <AccountId>1973</AccountId>
        <AccountType/>
      </UserInfo>
      <UserInfo>
        <DisplayName>Tejas Patil (tepatil)</DisplayName>
        <AccountId>11</AccountId>
        <AccountType/>
      </UserInfo>
      <UserInfo>
        <DisplayName>Pooja Pithiya (posolank)</DisplayName>
        <AccountId>40</AccountId>
        <AccountType/>
      </UserInfo>
      <UserInfo>
        <DisplayName>Saumya Harinarayan (saharina)</DisplayName>
        <AccountId>721</AccountId>
        <AccountType/>
      </UserInfo>
      <UserInfo>
        <DisplayName>Aditya Brahma -X (adibrahm)</DisplayName>
        <AccountId>2432</AccountId>
        <AccountType/>
      </UserInfo>
      <UserInfo>
        <DisplayName>Anju Anju -X (aanju)</DisplayName>
        <AccountId>2408</AccountId>
        <AccountType/>
      </UserInfo>
      <UserInfo>
        <DisplayName>Kajol Agrawal (kajoagra)</DisplayName>
        <AccountId>573</AccountId>
        <AccountType/>
      </UserInfo>
      <UserInfo>
        <DisplayName>Sunil Khanna -X (sunkhann - CAPGEMINI AMERICA INC at Cisco)</DisplayName>
        <AccountId>792</AccountId>
        <AccountType/>
      </UserInfo>
      <UserInfo>
        <DisplayName>Erik Stunes (estunes)</DisplayName>
        <AccountId>21</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47E065472000242BB07CD9B62CBA0B1" ma:contentTypeVersion="23" ma:contentTypeDescription="Create a new document." ma:contentTypeScope="" ma:versionID="b94b1a7fb2bd887e92268aca6762d508">
  <xsd:schema xmlns:xsd="http://www.w3.org/2001/XMLSchema" xmlns:xs="http://www.w3.org/2001/XMLSchema" xmlns:p="http://schemas.microsoft.com/office/2006/metadata/properties" xmlns:ns2="cc4cf91f-ccb4-42ef-a228-35340cc32a14" xmlns:ns3="12fe3af0-13f8-489e-a2c4-b93171c87869" targetNamespace="http://schemas.microsoft.com/office/2006/metadata/properties" ma:root="true" ma:fieldsID="42dca6562d5a3030e7fd8764f71ca56a" ns2:_="" ns3:_="">
    <xsd:import namespace="cc4cf91f-ccb4-42ef-a228-35340cc32a14"/>
    <xsd:import namespace="12fe3af0-13f8-489e-a2c4-b93171c8786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4cf91f-ccb4-42ef-a228-35340cc32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fe3af0-13f8-489e-a2c4-b93171c8786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a9545b9-f903-4908-adee-258fd7c23fcb}" ma:internalName="TaxCatchAll" ma:showField="CatchAllData" ma:web="12fe3af0-13f8-489e-a2c4-b93171c878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CBF008-8622-4BA0-A997-53B4EE7990BB}"/>
</file>

<file path=customXml/itemProps2.xml><?xml version="1.0" encoding="utf-8"?>
<ds:datastoreItem xmlns:ds="http://schemas.openxmlformats.org/officeDocument/2006/customXml" ds:itemID="{08AE626C-2E5C-467E-904E-E3429221E1D2}"/>
</file>

<file path=customXml/itemProps3.xml><?xml version="1.0" encoding="utf-8"?>
<ds:datastoreItem xmlns:ds="http://schemas.openxmlformats.org/officeDocument/2006/customXml" ds:itemID="{4DE90BD3-73A0-4998-8B02-215725BDF5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Anshul Singh -X (anshulsi)</dc:creator>
  <cp:keywords/>
  <dc:description/>
  <cp:lastModifiedBy/>
  <cp:revision/>
  <dcterms:created xsi:type="dcterms:W3CDTF">2023-04-24T03:47:43Z</dcterms:created>
  <dcterms:modified xsi:type="dcterms:W3CDTF">2026-10-21T14:49:05Z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0x010100A47E065472000242BB07CD9B62CBA0B1</vt:lpwstr>
  </property>
  <property fmtid="{D5CDD505-2E9C-101B-9397-08002B2CF9AE}" pid="3" name="MediaServiceImageTags">
    <vt:lpwstr/>
  </property>
  <property fmtid="{D5CDD505-2E9C-101B-9397-08002B2CF9AE}" pid="4" name="MSIP_Label_c8f49a32-fde3-48a5-9266-b5b0972a22dc_Enabled">
    <vt:lpwstr>true</vt:lpwstr>
  </property>
  <property fmtid="{D5CDD505-2E9C-101B-9397-08002B2CF9AE}" pid="5" name="MSIP_Label_c8f49a32-fde3-48a5-9266-b5b0972a22dc_SetDate">
    <vt:lpwstr>2024-06-19T06:46:27Z</vt:lpwstr>
  </property>
  <property fmtid="{D5CDD505-2E9C-101B-9397-08002B2CF9AE}" pid="6" name="MSIP_Label_c8f49a32-fde3-48a5-9266-b5b0972a22dc_Method">
    <vt:lpwstr>Standard</vt:lpwstr>
  </property>
  <property fmtid="{D5CDD505-2E9C-101B-9397-08002B2CF9AE}" pid="7" name="MSIP_Label_c8f49a32-fde3-48a5-9266-b5b0972a22dc_Name">
    <vt:lpwstr>Cisco Confidential</vt:lpwstr>
  </property>
  <property fmtid="{D5CDD505-2E9C-101B-9397-08002B2CF9AE}" pid="8" name="MSIP_Label_c8f49a32-fde3-48a5-9266-b5b0972a22dc_SiteId">
    <vt:lpwstr>5ae1af62-9505-4097-a69a-c1553ef7840e</vt:lpwstr>
  </property>
  <property fmtid="{D5CDD505-2E9C-101B-9397-08002B2CF9AE}" pid="9" name="MSIP_Label_c8f49a32-fde3-48a5-9266-b5b0972a22dc_ActionId">
    <vt:lpwstr>63149c0b-945b-49dd-a44f-b3c18cb5cc25</vt:lpwstr>
  </property>
  <property fmtid="{D5CDD505-2E9C-101B-9397-08002B2CF9AE}" pid="10" name="MSIP_Label_c8f49a32-fde3-48a5-9266-b5b0972a22dc_ContentBits">
    <vt:lpwstr>2</vt:lpwstr>
  </property>
</Properties>
</file>