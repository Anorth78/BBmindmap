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updateLinks="never" codeName="ThisWorkbook"/>
  <mc:AlternateContent xmlns:mc="http://schemas.openxmlformats.org/markup-compatibility/2006">
    <mc:Choice Requires="x15">
      <x15ac:absPath xmlns:x15ac="http://schemas.microsoft.com/office/spreadsheetml/2010/11/ac" url="/Users/rahula2/Downloads/"/>
    </mc:Choice>
  </mc:AlternateContent>
  <xr:revisionPtr revIDLastSave="0" documentId="8_{C3272104-B44F-6E40-9F66-DF6336229DF7}" xr6:coauthVersionLast="47" xr6:coauthVersionMax="47" xr10:uidLastSave="{00000000-0000-0000-0000-000000000000}"/>
  <bookViews>
    <workbookView xWindow="0" yWindow="660" windowWidth="30240" windowHeight="17940" tabRatio="514" xr2:uid="{B93310C3-7005-4EE4-B8D1-C26D951F7B12}"/>
  </bookViews>
  <sheets>
    <sheet name="Series" sheetId="6" r:id="rId1"/>
    <sheet name="Missions" sheetId="7" r:id="rId2"/>
    <sheet name="Track" sheetId="8" r:id="rId3"/>
    <sheet name="Rename" sheetId="3" r:id="rId4"/>
  </sheets>
  <definedNames>
    <definedName name="_xlnm._FilterDatabase" localSheetId="1" hidden="1">Missions!$A$4:$F$4</definedName>
    <definedName name="_xlnm._FilterDatabase" localSheetId="3" hidden="1">Rename!$A$2:$D$101</definedName>
    <definedName name="_xlnm._FilterDatabase" localSheetId="0" hidden="1">Series!$AC$500:$AD$500</definedName>
    <definedName name="DynamicTile">INDIRECT("Tiles!" &amp; VLOOKUP(Series!$AA$515,#REF!, 2, 0))</definedName>
    <definedName name="UpdateList" localSheetId="1">IF(#REF!="Valid",#REF!, "")</definedName>
    <definedName name="UpdateList" localSheetId="0">IF(Series!$AW$500="Valid", Series!$AV$501:$AV$503, "")</definedName>
    <definedName name="UpdateList">IF(#REF!="Valid",#REF!,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6" l="1" a="1"/>
  <c r="M14" i="6" s="1"/>
  <c r="A12" i="7" a="1"/>
  <c r="A12" i="7" s="1"/>
  <c r="F14" i="6"/>
  <c r="B12" i="6" l="1"/>
  <c r="K18" i="6" a="1"/>
  <c r="K18" i="6" s="1"/>
  <c r="H18" i="6" a="1"/>
  <c r="H18" i="6" s="1"/>
  <c r="J18" i="6" a="1"/>
  <c r="J18" i="6" s="1"/>
  <c r="I18" i="6"/>
  <c r="F18" i="6" a="1"/>
  <c r="F18" i="6" s="1"/>
  <c r="E18" i="6"/>
  <c r="D18" i="6"/>
  <c r="C18" i="6"/>
  <c r="G18" i="6"/>
  <c r="B18" i="6" a="1"/>
  <c r="B18" i="6" s="1"/>
  <c r="A18" i="6" a="1"/>
  <c r="A18" i="6" s="1"/>
  <c r="C16" i="6" l="1"/>
  <c r="A11" i="6" l="1"/>
  <c r="AA515" i="6" l="1"/>
  <c r="AA519" i="6" s="1"/>
  <c r="AA514" i="6"/>
  <c r="AA518" i="6" s="1"/>
  <c r="AA516" i="6"/>
  <c r="AA520" i="6" s="1"/>
  <c r="C11" i="6"/>
  <c r="E11" i="6" s="1"/>
  <c r="B4" i="6" a="1"/>
  <c r="B4" i="6" s="1"/>
  <c r="BD501" i="6" a="1"/>
  <c r="BD501" i="6" s="1"/>
  <c r="BC501" i="6" a="1"/>
  <c r="BC501" i="6" s="1"/>
  <c r="BB501" i="6" a="1"/>
  <c r="BB501" i="6" s="1"/>
  <c r="BA501" i="6" a="1"/>
  <c r="BA501" i="6" s="1"/>
  <c r="AZ501" i="6" a="1"/>
  <c r="AZ501" i="6" s="1"/>
  <c r="B3" i="6"/>
  <c r="A1" i="7" s="1"/>
  <c r="L19" i="6"/>
  <c r="L18" i="6"/>
  <c r="C6" i="6"/>
  <c r="AW500" i="6"/>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D3" i="3"/>
  <c r="C3" i="3"/>
  <c r="A4" i="7" l="1"/>
  <c r="B3" i="7" s="1"/>
  <c r="J14" i="6"/>
  <c r="H14" i="6"/>
  <c r="F3" i="7" l="1" a="1"/>
  <c r="F3" i="7" s="1"/>
  <c r="B4" i="7"/>
  <c r="D3" i="7"/>
  <c r="E3" i="7"/>
  <c r="C3" i="7" a="1"/>
  <c r="C3" i="7" s="1"/>
  <c r="F4" i="7"/>
  <c r="A3" i="7"/>
  <c r="C4" i="7"/>
  <c r="D4" i="7"/>
  <c r="E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<sst xmlns="http://schemas.openxmlformats.org/spreadsheetml/2006/main" count="1607" uniqueCount="848">
  <si>
    <t>Notes</t>
  </si>
  <si>
    <t>Category (Architecture)</t>
  </si>
  <si>
    <t>Program Track</t>
  </si>
  <si>
    <t>PT to be used</t>
  </si>
  <si>
    <t>Track</t>
  </si>
  <si>
    <t>Persona</t>
  </si>
  <si>
    <t>role</t>
  </si>
  <si>
    <t>bookings architecture</t>
  </si>
  <si>
    <t>Language</t>
  </si>
  <si>
    <t>Lang Code</t>
  </si>
  <si>
    <t>Business Entity</t>
  </si>
  <si>
    <t>Business Sub-Entity</t>
  </si>
  <si>
    <t>File Type</t>
  </si>
  <si>
    <t>Update</t>
  </si>
  <si>
    <t>Sub Criteria</t>
  </si>
  <si>
    <t>Cloud + AI Infrastructure</t>
  </si>
  <si>
    <t>5G Mobility</t>
  </si>
  <si>
    <t>Deployment</t>
  </si>
  <si>
    <t>Cisco Internal</t>
  </si>
  <si>
    <t>Business Architect</t>
  </si>
  <si>
    <t>Collaboration</t>
  </si>
  <si>
    <t>English</t>
  </si>
  <si>
    <t>Cisco Compute</t>
  </si>
  <si>
    <t>Hyper Converged</t>
  </si>
  <si>
    <t>Doc</t>
  </si>
  <si>
    <t>Add</t>
  </si>
  <si>
    <t>Assessment</t>
  </si>
  <si>
    <t>Prerequisite</t>
  </si>
  <si>
    <t>Access</t>
  </si>
  <si>
    <t>Pre-Sales</t>
  </si>
  <si>
    <t>Distributor</t>
  </si>
  <si>
    <t>Channels</t>
  </si>
  <si>
    <t>Data Center</t>
  </si>
  <si>
    <t>Chinese</t>
  </si>
  <si>
    <t>ZH</t>
  </si>
  <si>
    <t>Intersight</t>
  </si>
  <si>
    <t>HTML</t>
  </si>
  <si>
    <t>Modify</t>
  </si>
  <si>
    <t>Mission: Case Study</t>
  </si>
  <si>
    <t>Cross Architecture</t>
  </si>
  <si>
    <t>Access and Endpoints</t>
  </si>
  <si>
    <t>Sales</t>
  </si>
  <si>
    <t>Partner</t>
  </si>
  <si>
    <t>Customer Experience</t>
  </si>
  <si>
    <t>DevNet</t>
  </si>
  <si>
    <t>German</t>
  </si>
  <si>
    <t>DE</t>
  </si>
  <si>
    <t>Servers</t>
  </si>
  <si>
    <t>PDF</t>
  </si>
  <si>
    <t>Remove</t>
  </si>
  <si>
    <t>Mission: CTF</t>
  </si>
  <si>
    <t>Advanced Threat</t>
  </si>
  <si>
    <t>Support</t>
  </si>
  <si>
    <t>Engineering</t>
  </si>
  <si>
    <t>IoT</t>
  </si>
  <si>
    <t>Japanese</t>
  </si>
  <si>
    <t>JA</t>
  </si>
  <si>
    <t>Cloud Contact Center</t>
  </si>
  <si>
    <t>PPT</t>
  </si>
  <si>
    <t>Mission: dCloud</t>
  </si>
  <si>
    <t>Series Title</t>
  </si>
  <si>
    <t>AI Data Fundamentals</t>
  </si>
  <si>
    <t>AWS-CPPO</t>
  </si>
  <si>
    <t>Marketeer</t>
  </si>
  <si>
    <t>ISG</t>
  </si>
  <si>
    <t>Korean</t>
  </si>
  <si>
    <t>KO</t>
  </si>
  <si>
    <t>Cloud Webex Suite</t>
  </si>
  <si>
    <t>SCORM</t>
  </si>
  <si>
    <t>Mission: HLD LLD</t>
  </si>
  <si>
    <t>Networking</t>
  </si>
  <si>
    <t>AI Defense</t>
  </si>
  <si>
    <t>BA</t>
  </si>
  <si>
    <t>New Hire</t>
  </si>
  <si>
    <t>Meraki</t>
  </si>
  <si>
    <t>Portuguese</t>
  </si>
  <si>
    <t>PT</t>
  </si>
  <si>
    <t>CPaaS</t>
  </si>
  <si>
    <t>Video</t>
  </si>
  <si>
    <t>Mission: Perfect Pitch</t>
  </si>
  <si>
    <t>Description</t>
  </si>
  <si>
    <t>Non Architecture</t>
  </si>
  <si>
    <t>AI Fabric Design</t>
  </si>
  <si>
    <t>COVID</t>
  </si>
  <si>
    <t>Operations</t>
  </si>
  <si>
    <t>Network Experience</t>
  </si>
  <si>
    <t>Spanish</t>
  </si>
  <si>
    <t>ES</t>
  </si>
  <si>
    <t>On-Prem Contact Center</t>
  </si>
  <si>
    <t>Security</t>
  </si>
  <si>
    <t>AI Fundamentals</t>
  </si>
  <si>
    <t>CX</t>
  </si>
  <si>
    <t>PAMs, vPAMs, DAMs</t>
  </si>
  <si>
    <t>Other</t>
  </si>
  <si>
    <t>On-Prem Webex Suite</t>
  </si>
  <si>
    <t>Stage</t>
  </si>
  <si>
    <t>Services</t>
  </si>
  <si>
    <t>AI Ready Infrastructure</t>
  </si>
  <si>
    <t>Developer</t>
  </si>
  <si>
    <t>Partner Transformation</t>
  </si>
  <si>
    <t>SMB</t>
  </si>
  <si>
    <t>AppDynamics</t>
  </si>
  <si>
    <t>Service Provider</t>
  </si>
  <si>
    <t>Phone and Headset Devices</t>
  </si>
  <si>
    <t>Duration (mins)</t>
  </si>
  <si>
    <t>BE</t>
  </si>
  <si>
    <t>Sub BE</t>
  </si>
  <si>
    <t>Category</t>
  </si>
  <si>
    <t>Request Type</t>
  </si>
  <si>
    <t>Splunk</t>
  </si>
  <si>
    <t>Application Centric Infrastructure (ACI)</t>
  </si>
  <si>
    <t>ACI</t>
  </si>
  <si>
    <t>X-Sell</t>
  </si>
  <si>
    <t>Video Devices</t>
  </si>
  <si>
    <t>Application Experience and Management</t>
  </si>
  <si>
    <t>Data Center Networking</t>
  </si>
  <si>
    <t>Acacia - DC Allocation</t>
  </si>
  <si>
    <t>Series Owners</t>
  </si>
  <si>
    <t>Certificate</t>
  </si>
  <si>
    <t>Checkpoints</t>
  </si>
  <si>
    <t>Folder Name</t>
  </si>
  <si>
    <t>Template Name</t>
  </si>
  <si>
    <t xml:space="preserve"> </t>
  </si>
  <si>
    <t>Application First Security</t>
  </si>
  <si>
    <t>PAM</t>
  </si>
  <si>
    <t>NX1K</t>
  </si>
  <si>
    <t>AR/VR</t>
  </si>
  <si>
    <t>Practice Development</t>
  </si>
  <si>
    <t>NX2/4/5/6K</t>
  </si>
  <si>
    <t>P360</t>
  </si>
  <si>
    <t>ASA and Firewall</t>
  </si>
  <si>
    <t>SBPS</t>
  </si>
  <si>
    <t>NX3K</t>
  </si>
  <si>
    <t>Attack Surface Management</t>
  </si>
  <si>
    <t>X-Sell CSS</t>
  </si>
  <si>
    <t>NX7K</t>
  </si>
  <si>
    <t>Automation and Insights</t>
  </si>
  <si>
    <t>X-Sell SBPS</t>
  </si>
  <si>
    <t>NX8K</t>
  </si>
  <si>
    <t>Section Order</t>
  </si>
  <si>
    <t>Section Name</t>
  </si>
  <si>
    <t>Module Order</t>
  </si>
  <si>
    <t>Module Type</t>
  </si>
  <si>
    <t>Module Title</t>
  </si>
  <si>
    <t>Module Description</t>
  </si>
  <si>
    <t>Module (M/O)</t>
  </si>
  <si>
    <t>Module File Name</t>
  </si>
  <si>
    <t>Module Link</t>
  </si>
  <si>
    <t>BCS DIL</t>
  </si>
  <si>
    <t>X-Sell TIS</t>
  </si>
  <si>
    <t>NX9K</t>
  </si>
  <si>
    <t>Business Architecture</t>
  </si>
  <si>
    <t>Optics - DC Allocation</t>
  </si>
  <si>
    <t>Business Continuity</t>
  </si>
  <si>
    <t>Other Data Center</t>
  </si>
  <si>
    <t>Business Critical Services</t>
  </si>
  <si>
    <t>SAN</t>
  </si>
  <si>
    <t>Business Edition 4K/6K/7K</t>
  </si>
  <si>
    <t>Enterprise Routing</t>
  </si>
  <si>
    <t>Ent. Access Routing</t>
  </si>
  <si>
    <t>Business Edition 6K/7K</t>
  </si>
  <si>
    <t>Ent. Edge Routing</t>
  </si>
  <si>
    <t>Business Resiliency</t>
  </si>
  <si>
    <t>Ent. Cloud Platforms</t>
  </si>
  <si>
    <t>Catalyst Center</t>
  </si>
  <si>
    <t>IIoT Routing</t>
  </si>
  <si>
    <t>CCW Deal Manager</t>
  </si>
  <si>
    <t>Meraki SD-WAN</t>
  </si>
  <si>
    <t>Cisco DNA</t>
  </si>
  <si>
    <t>Enterprise Switching</t>
  </si>
  <si>
    <t>Ent. - Other</t>
  </si>
  <si>
    <t>Cisco Entity</t>
  </si>
  <si>
    <t>Ent. Small Business - Switching</t>
  </si>
  <si>
    <t>Cisco Meeting Servers</t>
  </si>
  <si>
    <t>Ent. Switching - Access</t>
  </si>
  <si>
    <t>Cisco Prime Migration</t>
  </si>
  <si>
    <t>Ent. Switching - Connected Platforms</t>
  </si>
  <si>
    <t>Cisco Secure Client</t>
  </si>
  <si>
    <t>Ent. Switching - Core</t>
  </si>
  <si>
    <t>Cisco Spaces</t>
  </si>
  <si>
    <t>IIoT Switching</t>
  </si>
  <si>
    <t>Cisco Umbrella</t>
  </si>
  <si>
    <t>Meraki Switching</t>
  </si>
  <si>
    <t>Cisco Wearables and Peripherals</t>
  </si>
  <si>
    <t>Optics - Ent. Networking Allocation</t>
  </si>
  <si>
    <t>Cisco+ Secure Connect</t>
  </si>
  <si>
    <t>Optics - IIoT Allocation</t>
  </si>
  <si>
    <t>Cloud Analytics</t>
  </si>
  <si>
    <t>Internet Infrastructure</t>
  </si>
  <si>
    <t>Acacia - Internet Infra Allocation</t>
  </si>
  <si>
    <t>Cloud Application Security</t>
  </si>
  <si>
    <t>Automation</t>
  </si>
  <si>
    <t>Cloud Calling</t>
  </si>
  <si>
    <t>Cable Access &amp; Infra (CMTS, QAM, HFC)</t>
  </si>
  <si>
    <t>Cloud Collaboration</t>
  </si>
  <si>
    <t>Control Center</t>
  </si>
  <si>
    <t>Cloud Compute</t>
  </si>
  <si>
    <t>Mobility</t>
  </si>
  <si>
    <t>Cloud Experience</t>
  </si>
  <si>
    <t>OPTICAL</t>
  </si>
  <si>
    <t>Cloud Management for Catalyst</t>
  </si>
  <si>
    <t>Optics - SP Routing Allocation</t>
  </si>
  <si>
    <t>Cloud Networking</t>
  </si>
  <si>
    <t>SP Access &amp; Aggregation</t>
  </si>
  <si>
    <t>Cloud Operations</t>
  </si>
  <si>
    <t>SP Core Routing</t>
  </si>
  <si>
    <t>Cloud Security</t>
  </si>
  <si>
    <t>SP Edge Routing</t>
  </si>
  <si>
    <t>Cloud Software Intersight</t>
  </si>
  <si>
    <t>SP Network Assurance</t>
  </si>
  <si>
    <t>Cloud Software Nexus Dashboard</t>
  </si>
  <si>
    <t>SP Segment Mobility Solutions</t>
  </si>
  <si>
    <t>Cloud Storage</t>
  </si>
  <si>
    <t>Network Assurance</t>
  </si>
  <si>
    <t>ThousandEyes</t>
  </si>
  <si>
    <t>Cloud, Web &amp; Email Security</t>
  </si>
  <si>
    <t>AI Solutions</t>
  </si>
  <si>
    <t>Cloudlock</t>
  </si>
  <si>
    <t>Cloud Platform and Services</t>
  </si>
  <si>
    <t>Data &amp; Analytics</t>
  </si>
  <si>
    <t>Collaboration Competitive Guides</t>
  </si>
  <si>
    <t>Innovation</t>
  </si>
  <si>
    <t>Compute</t>
  </si>
  <si>
    <t>SP Cloud</t>
  </si>
  <si>
    <t>Contact Center</t>
  </si>
  <si>
    <t>Home Networking and Other Emerging</t>
  </si>
  <si>
    <t>Contact Center Enterprise</t>
  </si>
  <si>
    <t>Contact Center Express</t>
  </si>
  <si>
    <t>Other Enterprise Networking</t>
  </si>
  <si>
    <t>Meraki IOT</t>
  </si>
  <si>
    <t>Core Security</t>
  </si>
  <si>
    <t>Meraki Vision</t>
  </si>
  <si>
    <t>Co-Sell</t>
  </si>
  <si>
    <t>Identity &amp; Access Management</t>
  </si>
  <si>
    <t>CPS Software Practice Lead</t>
  </si>
  <si>
    <t>Network Security</t>
  </si>
  <si>
    <t>Crosswork Cloud</t>
  </si>
  <si>
    <t>CSEP</t>
  </si>
  <si>
    <t>Secure Service Edge</t>
  </si>
  <si>
    <t>CUBE</t>
  </si>
  <si>
    <t>Threat Intelligence, Detection, &amp; Response</t>
  </si>
  <si>
    <t>Customer Success Manager</t>
  </si>
  <si>
    <t>Services ASS_L1</t>
  </si>
  <si>
    <t>Services AS</t>
  </si>
  <si>
    <t>CX Cloud</t>
  </si>
  <si>
    <t>Services TSS_L1</t>
  </si>
  <si>
    <t>Services CMS</t>
  </si>
  <si>
    <t>CX Engage TAC</t>
  </si>
  <si>
    <t>Services Training</t>
  </si>
  <si>
    <t>Cyber Vision</t>
  </si>
  <si>
    <t>Services TS</t>
  </si>
  <si>
    <t>Cyber Vision Assessment</t>
  </si>
  <si>
    <t>Splunk Observability</t>
  </si>
  <si>
    <t>Data Center Competitive Guides</t>
  </si>
  <si>
    <t>Splunk Platform</t>
  </si>
  <si>
    <t>Splunk Security</t>
  </si>
  <si>
    <t>DC Software</t>
  </si>
  <si>
    <t>Wireless</t>
  </si>
  <si>
    <t>DDoS</t>
  </si>
  <si>
    <t>Ent. - Wireless</t>
  </si>
  <si>
    <t>Deal Manager</t>
  </si>
  <si>
    <t>IIoT Wireless</t>
  </si>
  <si>
    <t>Devices</t>
  </si>
  <si>
    <t>Meraki System Manager</t>
  </si>
  <si>
    <t>Meraki Wireless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</si>
  <si>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</si>
  <si>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</si>
  <si>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</si>
  <si>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</si>
  <si>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</si>
  <si>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</si>
  <si>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</si>
  <si>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</si>
  <si>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</si>
  <si>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</si>
  <si>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</si>
  <si>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</si>
  <si>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</si>
  <si>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</si>
  <si>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</si>
  <si>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</si>
  <si>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</si>
  <si>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</si>
  <si>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</si>
  <si>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</si>
  <si>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</si>
  <si>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</si>
  <si>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</si>
  <si>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</si>
  <si>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</si>
  <si>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</si>
  <si>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</si>
  <si>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</si>
  <si>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</si>
  <si>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</si>
  <si>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</si>
  <si>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</si>
  <si>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</si>
  <si>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</si>
  <si>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</si>
  <si>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</si>
  <si>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</si>
  <si>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</si>
  <si>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</si>
  <si>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</si>
  <si>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</si>
  <si>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</si>
  <si>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</si>
  <si>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</si>
  <si>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</si>
  <si>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</si>
  <si>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</si>
  <si>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</si>
  <si>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</si>
  <si>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</si>
  <si>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</si>
  <si>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</si>
  <si>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</si>
  <si>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</si>
  <si>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</si>
  <si>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</si>
  <si>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</si>
  <si>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</si>
  <si>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</si>
  <si>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</si>
  <si>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</si>
  <si>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</si>
  <si>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</si>
  <si>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</si>
  <si>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Disti-Hybrid Cloud</t>
  </si>
  <si>
    <t>Hybrid Cloud</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</si>
  <si>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</si>
  <si>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</si>
  <si>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</si>
  <si>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</si>
  <si>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</si>
  <si>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</si>
  <si>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</si>
  <si>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</si>
  <si>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</si>
  <si>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</si>
  <si>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</si>
  <si>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</si>
  <si>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</si>
  <si>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Disti-Nexus Dashboard</t>
  </si>
  <si>
    <t>Nexus Dashboard</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</si>
  <si>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</si>
  <si>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</si>
  <si>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</si>
  <si>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</si>
  <si>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</si>
  <si>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</si>
  <si>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</si>
  <si>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</si>
  <si>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</si>
  <si>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</si>
  <si>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</si>
  <si>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</si>
  <si>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</si>
  <si>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</si>
  <si>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</si>
  <si>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</si>
  <si>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</si>
  <si>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</si>
  <si>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</si>
  <si>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</si>
  <si>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</si>
  <si>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</si>
  <si>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</si>
  <si>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</si>
  <si>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</si>
  <si>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</si>
  <si>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</si>
  <si>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</si>
  <si>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</si>
  <si>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</si>
  <si>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</si>
  <si>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</si>
  <si>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</si>
  <si>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</si>
  <si>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</si>
  <si>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</si>
  <si>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</si>
  <si>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</si>
  <si>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</si>
  <si>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</si>
  <si>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</si>
  <si>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</si>
  <si>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</si>
  <si>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</si>
  <si>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</si>
  <si>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</si>
  <si>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</si>
  <si>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</si>
  <si>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</si>
  <si>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</si>
  <si>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</si>
  <si>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</si>
  <si>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</si>
  <si>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</si>
  <si>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</si>
  <si>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</si>
  <si>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</si>
  <si>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</si>
  <si>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</si>
  <si>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</si>
  <si>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</si>
  <si>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</si>
  <si>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</si>
  <si>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</si>
  <si>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</si>
  <si>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</si>
  <si>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</si>
  <si>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</si>
  <si>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</si>
  <si>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</si>
  <si>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</si>
  <si>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</si>
  <si>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</si>
  <si>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</si>
  <si>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</si>
  <si>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</si>
  <si>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</si>
  <si>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</si>
  <si>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</si>
  <si>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</si>
  <si>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</si>
  <si>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</si>
  <si>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</si>
  <si>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</si>
  <si>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</si>
  <si>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</si>
  <si>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</si>
  <si>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</si>
  <si>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</si>
  <si>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</si>
  <si>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</si>
  <si>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</si>
  <si>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</si>
  <si>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</si>
  <si>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</si>
  <si>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</si>
  <si>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</si>
  <si>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</si>
  <si>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</si>
  <si>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</si>
  <si>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</si>
  <si>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</si>
  <si>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</si>
  <si>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</si>
  <si>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</si>
  <si>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</si>
  <si>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</si>
  <si>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</si>
  <si>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</si>
  <si>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</si>
  <si>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</si>
  <si>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</si>
  <si>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</si>
  <si>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</si>
  <si>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</si>
  <si>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ISE</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</si>
  <si>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</si>
  <si>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</si>
  <si>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</si>
  <si>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</si>
  <si>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</si>
  <si>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</si>
  <si>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</si>
  <si>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</si>
  <si>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</si>
  <si>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</si>
  <si>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</si>
  <si>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</si>
  <si>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</si>
  <si>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</si>
  <si>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</si>
  <si>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</si>
  <si>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</si>
  <si>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</si>
  <si>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</si>
  <si>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</si>
  <si>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</si>
  <si>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</si>
  <si>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</si>
  <si>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</si>
  <si>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</si>
  <si>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</si>
  <si>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</si>
  <si>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</si>
  <si>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</si>
  <si>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</si>
  <si>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</si>
  <si>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</si>
  <si>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</si>
  <si>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</si>
  <si>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</si>
  <si>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</si>
  <si>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</si>
  <si>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</si>
  <si>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</si>
  <si>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</si>
  <si>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</si>
  <si>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</si>
  <si>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</si>
  <si>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</si>
  <si>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</si>
  <si>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</si>
  <si>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</si>
  <si>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</si>
  <si>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</si>
  <si>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</si>
  <si>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</si>
  <si>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</si>
  <si>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</si>
  <si>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</si>
  <si>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</si>
  <si>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</si>
  <si>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</si>
  <si>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</si>
  <si>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</si>
  <si>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</si>
  <si>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</si>
  <si>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</si>
  <si>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</si>
  <si>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</si>
  <si>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</si>
  <si>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</si>
  <si>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</si>
  <si>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</si>
  <si>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</si>
  <si>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</si>
  <si>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</si>
  <si>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</si>
  <si>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</si>
  <si>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</si>
  <si>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</si>
  <si>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</si>
  <si>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</si>
  <si>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</si>
  <si>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</si>
  <si>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</si>
  <si>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</si>
  <si>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</si>
  <si>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</si>
  <si>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</si>
  <si>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</si>
  <si>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</si>
  <si>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</si>
  <si>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</si>
  <si>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</si>
  <si>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</si>
  <si>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</si>
  <si>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</si>
  <si>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</si>
  <si>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</si>
  <si>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</si>
  <si>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</si>
  <si>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</si>
  <si>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</si>
  <si>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</si>
  <si>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</si>
  <si>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</si>
  <si>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</si>
  <si>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</si>
  <si>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</si>
  <si>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</si>
  <si>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</si>
  <si>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</si>
  <si>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</si>
  <si>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</si>
  <si>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</si>
  <si>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</si>
  <si>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</si>
  <si>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</si>
  <si>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</si>
  <si>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</si>
  <si>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</si>
  <si>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</si>
  <si>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</si>
  <si>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</si>
  <si>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</si>
  <si>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</si>
  <si>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Suite</t>
  </si>
  <si>
    <t>SNTC</t>
  </si>
  <si>
    <t>Software Practice Lead</t>
  </si>
  <si>
    <t>SP Automation</t>
  </si>
  <si>
    <t>SP Infrastructure</t>
  </si>
  <si>
    <t>SP Routing</t>
  </si>
  <si>
    <t>Sports, Media and Entertainment</t>
  </si>
  <si>
    <t>Storage</t>
  </si>
  <si>
    <t>Switching</t>
  </si>
  <si>
    <t>TAC Fundamentals</t>
  </si>
  <si>
    <t>Telemetry Broker</t>
  </si>
  <si>
    <t>Tetration</t>
  </si>
  <si>
    <t>Transportation</t>
  </si>
  <si>
    <t>TSA and BSA</t>
  </si>
  <si>
    <t>UCCE</t>
  </si>
  <si>
    <t>UCCX</t>
  </si>
  <si>
    <t>Umbrella</t>
  </si>
  <si>
    <t>Unified Experiences</t>
  </si>
  <si>
    <t>Visibility and Enforcement</t>
  </si>
  <si>
    <t>Visibility and Segmentation</t>
  </si>
  <si>
    <t>VPN</t>
  </si>
  <si>
    <t>Vulnerability Management</t>
  </si>
  <si>
    <t>Webex Calling</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</si>
  <si>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</si>
  <si>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</si>
  <si>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</si>
  <si>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</si>
  <si>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</si>
  <si>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</si>
  <si>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</si>
  <si>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</si>
  <si>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</si>
  <si>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</si>
  <si>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</si>
  <si>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</si>
  <si>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</si>
  <si>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</si>
  <si>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</si>
  <si>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</si>
  <si>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</si>
  <si>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</si>
  <si>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</si>
  <si>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</si>
  <si>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</si>
  <si>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</si>
  <si>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</si>
  <si>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</si>
  <si>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</si>
  <si>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</si>
  <si>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</si>
  <si>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</si>
  <si>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</si>
  <si>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</si>
  <si>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</si>
  <si>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</si>
  <si>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</si>
  <si>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</si>
  <si>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</si>
  <si>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</si>
  <si>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</si>
  <si>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Order</t>
  </si>
  <si>
    <t>Link</t>
  </si>
  <si>
    <t>Mindtickle Track Template</t>
  </si>
  <si>
    <t>Track Title</t>
  </si>
  <si>
    <t/>
  </si>
  <si>
    <t>Instruction Document</t>
  </si>
  <si>
    <t>Sharepoint Link for the document</t>
  </si>
  <si>
    <t>Section Header</t>
  </si>
  <si>
    <t>Comments</t>
  </si>
  <si>
    <t>Title</t>
  </si>
  <si>
    <t>Underscored Titles</t>
  </si>
  <si>
    <t>Title with underscores</t>
  </si>
  <si>
    <t>Clean Titles</t>
  </si>
  <si>
    <t>Mass Scale Infrastructure</t>
  </si>
  <si>
    <t>AIOps</t>
  </si>
  <si>
    <t>Cisco Capital</t>
  </si>
  <si>
    <t>Cisco Refresh</t>
  </si>
  <si>
    <t>Cisco Support</t>
  </si>
  <si>
    <t>Cloud and AI Use Cases</t>
  </si>
  <si>
    <t>Crosswork Network Controller</t>
  </si>
  <si>
    <t>Disti-Networking Platform</t>
  </si>
  <si>
    <t>Networking Platform</t>
  </si>
  <si>
    <t>Disti-NGN</t>
  </si>
  <si>
    <t>NGN</t>
  </si>
  <si>
    <t>Hybrid Mesh Firewall</t>
  </si>
  <si>
    <t>One Cisco</t>
  </si>
  <si>
    <t>Quarterly Development Focus</t>
  </si>
  <si>
    <t>Secure AI Factory</t>
  </si>
  <si>
    <t>Security Operations</t>
  </si>
  <si>
    <t>SMB and Mid Market</t>
  </si>
  <si>
    <t>Tech Elevate</t>
  </si>
  <si>
    <t>Unified Edge</t>
  </si>
  <si>
    <t>VAST</t>
  </si>
  <si>
    <t>French</t>
  </si>
  <si>
    <t>FR</t>
  </si>
  <si>
    <t>Mindtickle Series Template v3</t>
  </si>
  <si>
    <t>Section (M/O)</t>
  </si>
  <si>
    <t>Info not required</t>
  </si>
  <si>
    <t>Missing or inaccurate info</t>
  </si>
  <si>
    <t>Future Proofed Workplaces</t>
  </si>
  <si>
    <t>Disti-Future Proofed Workplaces</t>
  </si>
  <si>
    <t>Legend</t>
  </si>
  <si>
    <t>Caution</t>
  </si>
  <si>
    <t>Upcoming Release Date</t>
  </si>
  <si>
    <t>**Note, this is a non-final static preview. The Partner 360 logo will be included based on your selection.**</t>
  </si>
  <si>
    <t>**Note, this is only a preview. The actual SG will feature the missions listed above, with a layout adjusted according to the number of missions.**</t>
  </si>
  <si>
    <t>Generated</t>
  </si>
  <si>
    <t>This track introduces you to the deep dive aspects of Cloud Calling viz Dedicated Instance, migration deep dive , Webex Setup Assist etc. The track also covers Webex Calling Configuration &amp; Deployment in depth.</t>
  </si>
  <si>
    <t>Stage 2</t>
  </si>
  <si>
    <t>New</t>
  </si>
  <si>
    <t>Cloud Calling - Deep Dive*</t>
  </si>
  <si>
    <t>EMEA Collab TAC Workshop'24 - Day 1, Webex Calling Deep Dive, pt 1 -Video</t>
  </si>
  <si>
    <t>Optional</t>
  </si>
  <si>
    <t>Webex Calling Premises-based PSTN - Part 2</t>
  </si>
  <si>
    <t>EMEA_Collab_TAC_Workshop'24_-_Day_1,_Webex_Calling_Deep_Dive,_pt_2-Video.mp4</t>
  </si>
  <si>
    <t>Dedicated to Local Gateways within Webex Calling, this includes comprehensive platform support, licensing details, and troubleshooting examples for both registration-based and certificate-based trunking models.</t>
  </si>
  <si>
    <t>March 19th, 2024 - Presenters: Priyam Acharya, Vishu Gaddi. In-depth look at the solution. Topics covered are: Call Routing in Webex Calling, Administration, Integrations and Interworking.</t>
  </si>
  <si>
    <t>EMEA_Collab_TAC_Workshop'24_-_Day_1,_Webex_Calling_Deep_Dive,_pt_1_-Video.mp4</t>
  </si>
  <si>
    <t>Learn more on Dedicated Instance*</t>
  </si>
  <si>
    <t>PIW - Enhanced Survivability for DI - Video</t>
  </si>
  <si>
    <t>PIW_-_Enhanced_Survivability_for_DIu200b_-_Video.mp4</t>
  </si>
  <si>
    <t>uly 13th, 2023 - Presenters: Salini Kumar, Pavithran Coiambadu Rajasekar. Enhanced Survivability has been a hot topic for deploying Cloud based calling, join us in this session as we take a deep dive into how this technology works.</t>
  </si>
  <si>
    <t>Mandatory</t>
  </si>
  <si>
    <t>Migration to Cloud Calling - Part 2*</t>
  </si>
  <si>
    <t>Interworking between Webex Calling and Dedicated Instance Cloud Connected PSTN 1</t>
  </si>
  <si>
    <t>In this video you will learn about the specifics of the interworking between Webex Calling multi-tenant and Webex Calling dedicated instance and cloud connected PSTN for Webex Calling dedicated instance.</t>
  </si>
  <si>
    <t>Interworking_between_Webex_Calling_and_Dedicated_Instance_Cloud_Connected_PSTN.mp4</t>
  </si>
  <si>
    <t>Peering - VOD</t>
  </si>
  <si>
    <t>Options for private peering with Webex Calling multi-tenant and Dedicated Instance, with a deep dive on Edge Connect and Equinix Fabric.</t>
  </si>
  <si>
    <t>Peering_-_VOD.mp4</t>
  </si>
  <si>
    <t>Contact Center Integration - VOD</t>
  </si>
  <si>
    <t>This video explains considerations for Contact Center integration with Webex Calling multi-tenant and Dedicated Instance, with a focus on Webex Contact Center.</t>
  </si>
  <si>
    <t>Contact_Center_Integration_-_VOD.mp4</t>
  </si>
  <si>
    <t>Migrate your Enterprise phones to MPP - Overview - VOD</t>
  </si>
  <si>
    <t>You will get overview of the process to migrate Enterprise phones to MPP firmware for use with Webex Calling. We will show where to find resources, what tools are available and when to use those tools. We will also briefly cover what devices are eligible</t>
  </si>
  <si>
    <t>Migrate_your_Enterprise_phones_to_MPP_-_Overview_-_VOD.mp4</t>
  </si>
  <si>
    <t>You will learn how to check if your enterprise phones can migrate to MPP firmware for use with Webex calling. We will show where to find documentation for latest device eligibility information.</t>
  </si>
  <si>
    <t>Verify device eligibility for migration to Webex Calling - VOD</t>
  </si>
  <si>
    <t>Verify_device_eligibility_for_migration_to_Webex_Calling_-_VOD.mp4</t>
  </si>
  <si>
    <t>You will learn about recent updates to the Webex control hub migration tools that enables you to generate migration licenses for your devices ahead of time and independent of the deployment method you us</t>
  </si>
  <si>
    <t>Generate migration licenses first, migrate phones later. – VOD</t>
  </si>
  <si>
    <t>Generate_migration_licenses_first,_migrate_phones_later._-_VOD.mp4</t>
  </si>
  <si>
    <t xml:space="preserve">Do you have hundreds of phones registered to UCM that need to migrate to Webex Calling? Now you can do that easily with new automatic option available in Webex control hub migration tools to complete phone migration when CCUC is already setup. </t>
  </si>
  <si>
    <t>Auto trigger firmware migration for your UCM registered phones via CCUC. – VOD</t>
  </si>
  <si>
    <t>Auto_trigger_firmware_migration_for_your_UCM_registered_phones_via_CCUC._-_VOD.mp4</t>
  </si>
  <si>
    <t>Use “Add device” UI wizard to auto generate migration license. - VOD</t>
  </si>
  <si>
    <t>Ever wondered why you have to create a CSV file to migrate a phone or two for demo / trial purposes? Wouldn’t it be easier if there was a simple UI wizard for that? Well, now you can just use regular “Add device” flow to add your eligible Enterprise phone.</t>
  </si>
  <si>
    <t>Use_“Add_device”_UI_wizard_to_auto_generate_migration_license._-_VOD.mp4</t>
  </si>
  <si>
    <t>Migrating_back_to_Enterprise_firmware_-_without_needing_a_license!_-_VOD.mp4</t>
  </si>
  <si>
    <t>Migrating back to Enterprise firmware - without needing a license! - VOD</t>
  </si>
  <si>
    <t>You often have a need to migrate your Enterprise phones to MPP firmware and then back to enterprise firmware for a demo, lab or trial purposes. Now you can easily migrate your original Enterprise phones back that you just converted to MPP firmware.</t>
  </si>
  <si>
    <t>Now you have more flexibility about how you deploy your migrated phones. Either you are migrating the enterprise phone for the first time or you are repurposing it to another user within the same organisation, you can now use activation code onboarding method.</t>
  </si>
  <si>
    <t>Activation_code_onboarding_now_supported_for_migrated_phones!_-_VOD.mp4</t>
  </si>
  <si>
    <t>Activation code onboarding now supported for migrated phones! - VOD</t>
  </si>
  <si>
    <t>Summary and troubleshooting tips - VOD</t>
  </si>
  <si>
    <t>We will summarize various methods to migrate to give you better understanding of when to use what option. At times, things may not go as expected and we will cover few troubleshooting scenario and tips to help in those situations.</t>
  </si>
  <si>
    <t>Summary_and_troubleshooting_tips_-_VOD.mp4</t>
  </si>
  <si>
    <t>In this module you will learn why it is important to do pre-migration assessments and get introduced to partners that provide both Pre-Assessment and Migration services to help customers migrate from On-Prem UCM to Webex Calling Dedicated instance or Mul</t>
  </si>
  <si>
    <t>Partner Migration Tools</t>
  </si>
  <si>
    <t>Partner_Migration_Tools.pptx</t>
  </si>
  <si>
    <t>Calling Migration Tool</t>
  </si>
  <si>
    <t>Introduction and walk-through of the migration tools for moving customers from Unified CM on-premise to Webex Calling. Emphasis on how to utilize the tool from start to finish, along with tips and tricks to resolve data migration errors and usage of the</t>
  </si>
  <si>
    <t>Calling_Migration_Tool.pptx</t>
  </si>
  <si>
    <t>Webex Setup Assist - Module 1 VOD</t>
  </si>
  <si>
    <t>Webex_Setup_Assist_-_Module_1_VOD.mp4</t>
  </si>
  <si>
    <t>Introduction to Webex Setup Assist, the Service Evolution and Overview about how to order, high level engagement process with deliverables.</t>
  </si>
  <si>
    <t>Webex Setup Assist - Module 2 VOD</t>
  </si>
  <si>
    <t>Webex Setup Assist - Module 3 VOD</t>
  </si>
  <si>
    <t>Webex_Setup_Assist_-_Module_2_VOD.mp4</t>
  </si>
  <si>
    <t>Webex_Setup_Assist_-_Module_3_VOD.mp4</t>
  </si>
  <si>
    <t>Webex Setup Assist is designed to be carried out in a uniform, consistent manner consisting of five distinct phases which will be covered.</t>
  </si>
  <si>
    <t>We will go over the entire order to delivery process, explain each phase with pre-sales and post-sales considerations. Summarize real world lessons world for each phase from the Setup Assist migrations</t>
  </si>
  <si>
    <t>Webex Calling Migration Next Steps - Recording</t>
  </si>
  <si>
    <t>Webex_Calling_Migration_Next_Steps_-_Recording.mp4</t>
  </si>
  <si>
    <t>How to register for the live instructor supported lab sessions "</t>
  </si>
  <si>
    <t>Migration to Cloud Calling - Part 2 (Reference)</t>
  </si>
  <si>
    <t>In this module you will learn about the specifics of the interworking between Webex Calling multi-tenant and Webex Calling dedicated instance and cloud connected PSTN for Webex Calling dedicated instance. You will specifically learn what's different betw</t>
  </si>
  <si>
    <t>Interworking between Webex Calling and Dedicated Instance Cloud Connected PSTN 2</t>
  </si>
  <si>
    <t>nterworking_between_Webex_Calling_and_Dedicated_Instance_Cloud_Connected_PSTN.pptx</t>
  </si>
  <si>
    <t>Peering</t>
  </si>
  <si>
    <t>Peering.pptx</t>
  </si>
  <si>
    <t>Contact Center Integration</t>
  </si>
  <si>
    <t>Considerations for Contact Center integration with Webex Calling multi-tenant and Dedicated Instance, with a focus on Webex Contact Center.</t>
  </si>
  <si>
    <t>Contact_Center_Integration.pptx</t>
  </si>
  <si>
    <t>Migrate your Enterprise phones to MPP - Overview</t>
  </si>
  <si>
    <t>Migrate_your_Enterprise_phones_to_MPP_-_Overview.pptx</t>
  </si>
  <si>
    <t>Verify device eligibility for migration to Webex Calling</t>
  </si>
  <si>
    <t>ou will learn how to check if your enterprise phones can migrate to MPP firmware for use with Webex calling. We will show where to find documentation for latest device eligibility information and what options available when you have device in hand versu</t>
  </si>
  <si>
    <t>Verify_device_eligibility_for_migration_to_Webex_Calling.pptx</t>
  </si>
  <si>
    <t>Generate migration licenses first, migrate phones later</t>
  </si>
  <si>
    <t>You will learn about recent updates to the Webex control hub migration tools that enables you to generate migration licenses for your devices ahead of time and independent of the deployment method you use. You can assign devices to users / workspace late</t>
  </si>
  <si>
    <t>Generate_migration_licenses_first,_migrate_phones_later.pptx</t>
  </si>
  <si>
    <t>Auto trigger firmware migration for your UCM registered phones via CCUC</t>
  </si>
  <si>
    <t>Auto_trigger_firmware_migration_for_your_UCM_registered_phones_via_CCUC.pptx</t>
  </si>
  <si>
    <t>Do you have hundreds of phones registered to UCM that need to migrate to Webex Calling? Now you can do that easily with new automatic option available in Webex control hub migration tools to complete phone migration when CCUC is already setup. You will l</t>
  </si>
  <si>
    <t>Ever wondered why you have to create a CSV file to migrate a phone or two for demo / trial purposes? Wouldn’t it be easier if there was a simple UI wizard for that? Well, now you can just use regular “Add device” flow to add your eligible Enterprise phon</t>
  </si>
  <si>
    <t>se_“Add_device”_UI_wizard_to_auto_generate_migration_license.pptx</t>
  </si>
  <si>
    <t>Use “Add device” UI wizard to auto generate migration license</t>
  </si>
  <si>
    <t>Migrating back to Enterprise firmware - without needing a license!</t>
  </si>
  <si>
    <t>You often have a need to migrate your Enterprise phones to MPP firmware and then back to enterprise firmware for a demo, lab or trial purposes. Now you can easily migrate your original Enterprise phones back that you just converted to MPP firmware. In th</t>
  </si>
  <si>
    <t>Migrating_back_to_Enterprise_firmware_-_without_needing_a_license!.pptx</t>
  </si>
  <si>
    <t>Activation code onboarding now supported for migrated phones!</t>
  </si>
  <si>
    <t>Now you have more flexibility about how you deploy your migrated phones. Either you are migrating the enterprise phone for the first time or you are repurposing it to another user within the same org, you can now use activation code onboarding method. Yo</t>
  </si>
  <si>
    <t>Activation_code_onboarding_now_supported_for_migrated_phones!.pptx</t>
  </si>
  <si>
    <t>Summary and troubleshooting tips</t>
  </si>
  <si>
    <t>Summary_and_troubleshooting_tips.pptx</t>
  </si>
  <si>
    <t>Webex Setup Assist - Module 1</t>
  </si>
  <si>
    <t>Webex_Setup_Assist_-_Module_1.pptx</t>
  </si>
  <si>
    <t>Webex Setup Assist - Module 2</t>
  </si>
  <si>
    <t>Webex_Setup_Assist_-_Module_2.pptx</t>
  </si>
  <si>
    <t>Webex_Setup_Assist_-_Module_3.pptx</t>
  </si>
  <si>
    <t>Webex Setup Assist - Module 3</t>
  </si>
  <si>
    <t>How to register for the live instructor supported lab sessions</t>
  </si>
  <si>
    <t>Webex Calling Migration Next Steps - Presentation</t>
  </si>
  <si>
    <t>Webex_Calling_Migration_Next_Steps_-_Presentation.pptx</t>
  </si>
  <si>
    <t>Cloud Calling: Deployment &amp; Operations*</t>
  </si>
  <si>
    <t>Planning and Designing Successful Cloud Calling Deployments with Webex Calling</t>
  </si>
  <si>
    <t>This session covers cloud calling deployment including PSTN selection, location planning, dial plan design, integrations with existing call control systems and mapping business requirements to Webex Calling features.</t>
  </si>
  <si>
    <t>Planning_and_Designing_Successful_Cloud_Calling_Deployments_with_Webex_Calling.mp4</t>
  </si>
  <si>
    <t>Webex Edge Connect Design and Deployment for Webex Meetings and Calling</t>
  </si>
  <si>
    <t xml:space="preserve"> In this session we'll review the Edge Connect solution, cover some of the key design considerations and deployment best practices and discuss some of the latest updates to the offering.</t>
  </si>
  <si>
    <t>Webex_Edge_Connect_Design_and_Deployment_for_Webex_Meetings_and_Calling.mp4</t>
  </si>
  <si>
    <t>This session will outline the media flow in the different implementation scenarios and give an overview of the methods and tools available to customers to troubleshoot voice quality issues</t>
  </si>
  <si>
    <t>Media Optimization with Webex Calling</t>
  </si>
  <si>
    <t>Media_Optimization_with_Webex_Calling.mp4</t>
  </si>
  <si>
    <t>EMEA Collab TAC Workshop'24-Day 1, Webex Calling Premises-based PSTN, pt 1-Video</t>
  </si>
  <si>
    <t>EMEA_Collab_TAC_Workshop'24-Day_1,_Webex_Calling_Premises-based_PSTN,_pt_1-Video.mp4</t>
  </si>
  <si>
    <t>March 19th, 2024 - Presenters: Rado Drabik, Dominik Dyrcz. Part 1 of a 1,5 hours session dedicated to Local Gateways with platform support, licensing and troubleshooting examples. Both registration-based and certificate-based.</t>
  </si>
  <si>
    <t>EMEA Collab TAC Workshop'24-Day 1, Webex Calling Premises-based PSTN, pt 2-Video</t>
  </si>
  <si>
    <t>EMEA_Collab_TAC_Workshop'24-Day_1,_Webex_Calling_Premises-based_PSTN,_pt_2-Video.mp4</t>
  </si>
  <si>
    <t>March 19th, 2024 - Presenters: Rado Drabik, Dominik Dyrcz. Part 2 of a 1,5 hours session dedicated to Local Gateways with platform support, licensing and troubleshooting examples. Both registration-based and certificate-based. [Full Title: EMEA Collabora</t>
  </si>
  <si>
    <t>EMEA Collab TAC Workshop'24 - Day 2, Enabling Endpoints for Webex Calling-Video</t>
  </si>
  <si>
    <t>March 20th, 2024 - Presenters: Dariya Makhanova, Diego Manuel Jimenez Moreno. Manual and bulk provisioning flows for Webex Calling devices. Troubleshooting common issues. [Full Title: EMEA Collaboration TAC Workshop'24 - Day 2, Enabling Endpoints for Webex Calling
Estimated module completion time: 54 mins</t>
  </si>
  <si>
    <t>EMEA_Collab_TAC_Workshop'24_-_Day_2,_Enabling_Endpoints_for_Webex_Calling-Video.mp4</t>
  </si>
  <si>
    <t>Other important topics to know*</t>
  </si>
  <si>
    <t>This video explains the recent feature added to control Hub, which allows to organize users based on the physical location.</t>
  </si>
  <si>
    <t>Webex_Calling_Locations.mp4</t>
  </si>
  <si>
    <t>Call plans for small business: See the simple setup process</t>
  </si>
  <si>
    <t>Webex is making calling easier and more accessible than ever. The Call plans, now available on Webex.com, provide powerful, enterprise-grade calling service, designed for your small business. Watch this demo to experience the setup process: how to assign</t>
  </si>
  <si>
    <t>Cloud Connect for Webex Calling - Global availability</t>
  </si>
  <si>
    <t>ccpp-country-list-locked.xlsx</t>
  </si>
  <si>
    <t>This excel file shows the geographic coverage of Certified Calling Providers for Cloud Connect for Webex Calling.</t>
  </si>
  <si>
    <t>Nomadic E911 Solution for Webex At-a-Glance</t>
  </si>
  <si>
    <t>Nomadic_E911_Solution_for_Webex_At-a-Glance.pdf</t>
  </si>
  <si>
    <t xml:space="preserve">This at-a-glance provides an overview of the new Nomadic E911 solution being provided, in partnership with RedSky, for U.S. users of Webex Calling, Dedicated Instance for Webex Calling, UCM Cloud and UCM Cloud for Government. </t>
  </si>
  <si>
    <t>We're excited to announce that Business Texting is available with Webex Calling. This feature supports secure, compliant, person-to-person texting in the Webex App. Business texting is included with Cisco Calling Plans in the United States and Canada for</t>
  </si>
  <si>
    <t>Business_texting_for_Webex_Calling_At-a-glance.pdf</t>
  </si>
  <si>
    <t>Business texting for Webex Calling At-a-glance</t>
  </si>
  <si>
    <t>Webex Calling for Chrome At-a-glance</t>
  </si>
  <si>
    <t>Deliver the enterprise-grade Webex Calling experience from Google Chrome.</t>
  </si>
  <si>
    <t>Webex_Calling_for_Chrome_At-a-glance.pdf</t>
  </si>
  <si>
    <t>Cisco Dubber Go - One Pager</t>
  </si>
  <si>
    <t xml:space="preserve">
Cisco_Dubber_Go_-_One_Pager.pdf</t>
  </si>
  <si>
    <t>Dubber Go - a simple and cost effective call recording One Pager Summary</t>
  </si>
  <si>
    <t>Dcloud*</t>
  </si>
  <si>
    <t>n the Webex Calling lab, you will take a hands-on approach to enable an organization and users in Webex Control Hub, as well as onboard endpoints and room systems.</t>
  </si>
  <si>
    <t>Webex Calling Lab v5</t>
  </si>
  <si>
    <t>Migrating On-Premises Calling to Cisco Webex Lab v3</t>
  </si>
  <si>
    <t>The lab covers: Configuring Okta for SSO, Touch-less Headset Extension Mobility, Webex Calling, Calling in Webex (Unified CM), Hybrid Messaging, Device Onboarding using Activation Codes, Jabber Migration, Calling Migration and more.</t>
  </si>
  <si>
    <t>Quiz*</t>
  </si>
  <si>
    <t>Black Belt - Cloud Calling Deployment Stage 2 Quiz</t>
  </si>
  <si>
    <t>Submission Guidelines*</t>
  </si>
  <si>
    <t>Black Belt Cloud Calling Deployment Stage 2 Submission Guidelines</t>
  </si>
  <si>
    <t>Cloud Calling Deployment Stage 2.pdf</t>
  </si>
  <si>
    <t>Submission Guidelines document for the completion of Black Belt Cloud Calling Deployment Stage 2 Learning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</si>
</sst>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0"/>
      <color rgb="FF000000"/>
      <name val="Calibri"/>
      <family val="2"/>
    </font>
    <font>
      <sz val="11"/>
      <color theme="1"/>
      <name val="Calibri"/>
      <family val="2"/>
    </font>
    <font>
      <b/>
      <sz val="11"/>
      <color theme="6" tint="-0.499984740745262"/>
      <name val="Aptos Narrow"/>
      <family val="2"/>
      <scheme val="minor"/>
    </font>
    <font>
      <sz val="11"/>
      <color theme="0"/>
      <name val="Aptos Narrow"/>
      <family val="2"/>
      <scheme val="minor"/>
    </font>
    <font>
      <b/>
      <sz val="10"/>
      <color theme="0"/>
      <name val="Calibri"/>
      <family val="2"/>
    </font>
    <font>
      <b/>
      <sz val="11"/>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6"/>
      <color theme="0"/>
      <name val="Aptos Narrow"/>
      <family val="2"/>
      <scheme val="minor"/>
    </font>
    <font>
      <b/>
      <sz val="18"/>
      <color theme="9" tint="-0.249977111117893"/>
      <name val="Aptos Narrow"/>
      <family val="2"/>
      <scheme val="minor"/>
    </font>
    <font>
      <sz val="20"/>
      <color theme="1"/>
      <name val="Aptos Narrow"/>
      <family val="2"/>
      <scheme val="minor"/>
    </font>
    <font>
      <sz val="11"/>
      <color theme="1"/>
      <name val="Arial Black"/>
      <family val="2"/>
    </font>
    <font>
      <sz val="11"/>
      <color theme="3"/>
      <name val="Aptos Narrow"/>
      <family val="2"/>
      <scheme val="minor"/>
    </font>
    <font>
      <sz val="22"/>
      <color theme="10"/>
      <name val="Aptos Narrow"/>
      <family val="2"/>
      <scheme val="minor"/>
    </font>
    <font>
      <sz val="11"/>
      <color theme="0" tint="-4.9989318521683403E-2"/>
      <name val="Aptos Narrow"/>
      <family val="2"/>
      <scheme val="minor"/>
    </font>
    <font>
      <i/>
      <sz val="11"/>
      <color theme="4"/>
      <name val="Aptos Narrow"/>
      <family val="2"/>
      <scheme val="minor"/>
    </font>
    <font>
      <sz val="11"/>
      <color theme="4"/>
      <name val="Aptos Narrow"/>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gradientFill>
        <stop position="0">
          <color rgb="FF02A5C1"/>
        </stop>
        <stop position="1">
          <color rgb="FF71BE4E"/>
        </stop>
      </gradientFill>
    </fill>
    <fill>
      <patternFill patternType="solid">
        <fgColor theme="1" tint="0.34998626667073579"/>
        <bgColor indexed="64"/>
      </patternFill>
    </fill>
    <fill>
      <patternFill patternType="solid">
        <fgColor rgb="FFFF7C80"/>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2"/>
        <bgColor indexed="64"/>
      </patternFill>
    </fill>
  </fills>
  <borders count="26">
    <border>
      <left/>
      <right/>
      <top/>
      <bottom/>
      <diagonal/>
    </border>
    <border>
      <left/>
      <right/>
      <top style="thin">
        <color theme="6"/>
      </top>
      <bottom style="thin">
        <color theme="6"/>
      </bottom>
      <diagonal/>
    </border>
    <border>
      <left/>
      <right/>
      <top style="thin">
        <color theme="6" tint="-0.499984740745262"/>
      </top>
      <bottom style="thin">
        <color theme="6" tint="-0.499984740745262"/>
      </bottom>
      <diagonal/>
    </border>
    <border>
      <left/>
      <right style="thin">
        <color theme="6"/>
      </right>
      <top/>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
      <left style="hair">
        <color theme="9"/>
      </left>
      <right/>
      <top style="hair">
        <color theme="9"/>
      </top>
      <bottom/>
      <diagonal/>
    </border>
    <border>
      <left/>
      <right/>
      <top style="hair">
        <color theme="9"/>
      </top>
      <bottom/>
      <diagonal/>
    </border>
    <border>
      <left/>
      <right style="hair">
        <color theme="9"/>
      </right>
      <top style="hair">
        <color theme="9"/>
      </top>
      <bottom/>
      <diagonal/>
    </border>
    <border>
      <left style="hair">
        <color theme="9"/>
      </left>
      <right/>
      <top/>
      <bottom/>
      <diagonal/>
    </border>
    <border>
      <left/>
      <right style="hair">
        <color theme="9"/>
      </right>
      <top/>
      <bottom/>
      <diagonal/>
    </border>
    <border>
      <left style="hair">
        <color theme="9"/>
      </left>
      <right/>
      <top/>
      <bottom style="hair">
        <color theme="9"/>
      </bottom>
      <diagonal/>
    </border>
    <border>
      <left/>
      <right/>
      <top/>
      <bottom style="hair">
        <color theme="9"/>
      </bottom>
      <diagonal/>
    </border>
    <border>
      <left/>
      <right style="hair">
        <color theme="9"/>
      </right>
      <top/>
      <bottom style="hair">
        <color theme="9"/>
      </bottom>
      <diagonal/>
    </border>
    <border>
      <left/>
      <right/>
      <top style="thin">
        <color theme="9"/>
      </top>
      <bottom style="thin">
        <color theme="9"/>
      </bottom>
      <diagonal/>
    </border>
    <border>
      <left/>
      <right/>
      <top/>
      <bottom style="double">
        <color theme="9"/>
      </bottom>
      <diagonal/>
    </border>
    <border>
      <left/>
      <right/>
      <top style="thin">
        <color theme="9"/>
      </top>
      <bottom/>
      <diagonal/>
    </border>
    <border>
      <left/>
      <right/>
      <top style="thin">
        <color theme="6"/>
      </top>
      <bottom/>
      <diagonal/>
    </border>
    <border>
      <left/>
      <right/>
      <top/>
      <bottom style="thin">
        <color theme="6"/>
      </bottom>
      <diagonal/>
    </border>
  </borders>
  <cellStyleXfs count="2">
    <xf numFmtId="0" fontId="0" fillId="0" borderId="0"/>
    <xf numFmtId="0" fontId="8" fillId="0" borderId="0" applyNumberFormat="0" applyFill="0" applyBorder="0" applyAlignment="0" applyProtection="0"/>
  </cellStyleXfs>
  <cellXfs count="88">
    <xf numFmtId="0" fontId="0" fillId="0" borderId="0" xfId="0"/>
    <xf numFmtId="0" fontId="0" fillId="0" borderId="0" xfId="0" applyProtection="1">
      <protection hidden="1"/>
    </xf>
    <xf numFmtId="0" fontId="0" fillId="0" borderId="0" xfId="0" applyProtection="1">
      <protection locked="0"/>
    </xf>
    <xf numFmtId="0" fontId="5" fillId="4" borderId="0" xfId="0" applyFont="1" applyFill="1"/>
    <xf numFmtId="0" fontId="4" fillId="4" borderId="0" xfId="0" applyFont="1" applyFill="1"/>
    <xf numFmtId="0" fontId="0" fillId="5" borderId="0" xfId="0" applyFill="1"/>
    <xf numFmtId="0" fontId="5" fillId="6" borderId="0" xfId="0" applyFont="1" applyFill="1"/>
    <xf numFmtId="0" fontId="0" fillId="7" borderId="0" xfId="0" applyFill="1"/>
    <xf numFmtId="0" fontId="1" fillId="5" borderId="0" xfId="0" applyFont="1" applyFill="1"/>
    <xf numFmtId="0" fontId="2" fillId="5" borderId="0" xfId="0" applyFont="1" applyFill="1"/>
    <xf numFmtId="0" fontId="6" fillId="8" borderId="0" xfId="0" applyFont="1" applyFill="1"/>
    <xf numFmtId="0" fontId="6" fillId="9" borderId="0" xfId="0" applyFont="1" applyFill="1"/>
    <xf numFmtId="0" fontId="7" fillId="0" borderId="0" xfId="0" applyFont="1" applyAlignment="1" applyProtection="1">
      <alignment horizontal="left" vertical="center"/>
      <protection hidden="1"/>
    </xf>
    <xf numFmtId="0" fontId="0" fillId="10" borderId="0" xfId="0" applyFill="1"/>
    <xf numFmtId="0" fontId="0" fillId="2" borderId="2" xfId="0" applyFill="1" applyBorder="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3" fillId="0" borderId="0" xfId="0" applyFont="1" applyAlignment="1" applyProtection="1">
      <alignment horizontal="left" vertical="center"/>
      <protection hidden="1"/>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top"/>
      <protection locked="0"/>
    </xf>
    <xf numFmtId="0" fontId="0" fillId="0" borderId="4" xfId="0" applyBorder="1" applyAlignment="1" applyProtection="1">
      <alignment horizontal="left" vertical="center" wrapText="1"/>
      <protection locked="0"/>
    </xf>
    <xf numFmtId="0" fontId="0" fillId="2" borderId="6" xfId="0" applyFill="1" applyBorder="1" applyAlignment="1" applyProtection="1">
      <alignment horizontal="left" vertical="center"/>
      <protection hidden="1"/>
    </xf>
    <xf numFmtId="0" fontId="0" fillId="0" borderId="7" xfId="0" applyBorder="1" applyAlignment="1" applyProtection="1">
      <alignment horizontal="left"/>
      <protection locked="0"/>
    </xf>
    <xf numFmtId="0" fontId="0" fillId="0" borderId="4" xfId="0" applyBorder="1" applyAlignment="1" applyProtection="1">
      <alignment horizontal="left"/>
      <protection locked="0"/>
    </xf>
    <xf numFmtId="0" fontId="5" fillId="0" borderId="0" xfId="0" applyFont="1"/>
    <xf numFmtId="0" fontId="0" fillId="0" borderId="0" xfId="0" applyAlignment="1" applyProtection="1">
      <alignment horizontal="left" vertical="center" wrapText="1"/>
      <protection hidden="1"/>
    </xf>
    <xf numFmtId="0" fontId="4" fillId="11" borderId="5" xfId="0" applyFont="1" applyFill="1" applyBorder="1" applyAlignment="1" applyProtection="1">
      <alignment horizontal="left" vertical="center" wrapText="1"/>
      <protection hidden="1"/>
    </xf>
    <xf numFmtId="0" fontId="4" fillId="11" borderId="2" xfId="0" applyFont="1" applyFill="1" applyBorder="1" applyAlignment="1" applyProtection="1">
      <alignment horizontal="left" vertical="center" wrapText="1"/>
      <protection hidden="1"/>
    </xf>
    <xf numFmtId="0" fontId="0" fillId="0" borderId="2" xfId="0"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hidden="1"/>
    </xf>
    <xf numFmtId="0" fontId="0" fillId="0" borderId="1" xfId="0" applyBorder="1" applyAlignment="1" applyProtection="1">
      <alignment horizontal="left" vertical="center" wrapText="1"/>
      <protection hidden="1"/>
    </xf>
    <xf numFmtId="0" fontId="8" fillId="0" borderId="4" xfId="1" applyBorder="1" applyAlignment="1" applyProtection="1">
      <alignment horizontal="left" vertical="center" wrapText="1"/>
      <protection locked="0"/>
    </xf>
    <xf numFmtId="0" fontId="0" fillId="0" borderId="21" xfId="0" applyBorder="1" applyAlignment="1">
      <alignment horizontal="left" vertical="center"/>
    </xf>
    <xf numFmtId="0" fontId="0" fillId="0" borderId="21" xfId="0" applyBorder="1" applyAlignment="1">
      <alignment horizontal="left" vertical="center" wrapText="1"/>
    </xf>
    <xf numFmtId="0" fontId="0" fillId="12" borderId="21" xfId="0" applyFill="1" applyBorder="1" applyAlignment="1">
      <alignment horizontal="left" vertical="center" wrapText="1"/>
    </xf>
    <xf numFmtId="0" fontId="0" fillId="13" borderId="21" xfId="0" applyFill="1" applyBorder="1" applyAlignment="1">
      <alignment horizontal="left" vertical="center" wrapText="1"/>
    </xf>
    <xf numFmtId="0" fontId="14" fillId="0" borderId="21" xfId="0" applyFont="1" applyBorder="1" applyAlignment="1">
      <alignment horizontal="left" vertical="center"/>
    </xf>
    <xf numFmtId="0" fontId="0" fillId="0" borderId="22" xfId="0" applyBorder="1" applyAlignment="1" applyProtection="1">
      <alignment horizontal="left" vertical="center"/>
      <protection hidden="1"/>
    </xf>
    <xf numFmtId="0" fontId="0" fillId="0" borderId="22" xfId="0" applyBorder="1" applyAlignment="1" applyProtection="1">
      <alignment horizontal="left" vertical="center" wrapText="1"/>
      <protection hidden="1"/>
    </xf>
    <xf numFmtId="0" fontId="0" fillId="0" borderId="0" xfId="0" applyAlignment="1" applyProtection="1">
      <alignment horizontal="left" vertical="center" wrapText="1"/>
      <protection locked="0" hidden="1"/>
    </xf>
    <xf numFmtId="0" fontId="17" fillId="11" borderId="0" xfId="1" applyFont="1" applyFill="1" applyAlignment="1" applyProtection="1">
      <alignment horizontal="left" vertical="center" wrapText="1"/>
      <protection hidden="1"/>
    </xf>
    <xf numFmtId="0" fontId="10" fillId="0" borderId="0" xfId="1" applyFont="1" applyFill="1" applyBorder="1" applyAlignment="1" applyProtection="1">
      <alignment horizontal="left" vertical="center" wrapText="1"/>
      <protection locked="0" hidden="1"/>
    </xf>
    <xf numFmtId="0" fontId="0" fillId="14" borderId="23" xfId="0" applyFill="1" applyBorder="1"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16" fontId="6" fillId="15" borderId="21" xfId="0" applyNumberFormat="1" applyFont="1" applyFill="1" applyBorder="1" applyAlignment="1" applyProtection="1">
      <alignment horizontal="center" vertical="center" wrapText="1"/>
      <protection hidden="1"/>
    </xf>
    <xf numFmtId="0" fontId="0" fillId="16" borderId="0" xfId="0" applyFill="1" applyAlignment="1">
      <alignment horizontal="left" vertical="center"/>
    </xf>
    <xf numFmtId="0" fontId="4" fillId="9" borderId="0" xfId="0" applyFont="1" applyFill="1" applyAlignment="1">
      <alignment horizontal="left" vertical="center"/>
    </xf>
    <xf numFmtId="0" fontId="4" fillId="11" borderId="1" xfId="1" applyFont="1" applyFill="1" applyBorder="1" applyAlignment="1" applyProtection="1">
      <alignment horizontal="left" vertical="center" wrapText="1"/>
      <protection hidden="1"/>
    </xf>
    <xf numFmtId="0" fontId="11" fillId="11" borderId="0" xfId="0" applyFont="1" applyFill="1" applyAlignment="1">
      <alignment horizontal="center" vertical="center" wrapText="1"/>
    </xf>
    <xf numFmtId="0" fontId="11" fillId="11" borderId="3"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16" fillId="0" borderId="0" xfId="1" applyFont="1" applyAlignment="1">
      <alignment horizontal="center" vertical="center"/>
    </xf>
    <xf numFmtId="0" fontId="12"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0" xfId="0" applyAlignment="1" applyProtection="1">
      <alignment horizontal="left" vertical="center" wrapText="1"/>
      <protection locked="0"/>
    </xf>
    <xf numFmtId="0" fontId="0" fillId="0" borderId="21" xfId="0" applyBorder="1" applyAlignment="1">
      <alignment horizontal="left" vertical="center" wrapText="1"/>
    </xf>
    <xf numFmtId="0" fontId="4" fillId="11" borderId="24" xfId="0" applyFont="1" applyFill="1" applyBorder="1" applyAlignment="1" applyProtection="1">
      <alignment horizontal="center" vertical="center" wrapText="1"/>
      <protection hidden="1"/>
    </xf>
    <xf numFmtId="0" fontId="4" fillId="11" borderId="0" xfId="0" applyFont="1" applyFill="1" applyAlignment="1" applyProtection="1">
      <alignment horizontal="center" vertical="center" wrapText="1"/>
      <protection hidden="1"/>
    </xf>
    <xf numFmtId="0" fontId="4" fillId="11" borderId="25" xfId="0" applyFont="1" applyFill="1" applyBorder="1" applyAlignment="1" applyProtection="1">
      <alignment horizontal="center" vertical="center" wrapText="1"/>
      <protection hidden="1"/>
    </xf>
    <xf numFmtId="0" fontId="18" fillId="0" borderId="24" xfId="0" applyFont="1" applyBorder="1" applyAlignment="1">
      <alignment horizontal="center" vertical="top" wrapText="1"/>
    </xf>
    <xf numFmtId="0" fontId="19" fillId="0" borderId="24" xfId="0" applyFont="1" applyBorder="1" applyAlignment="1">
      <alignment horizontal="center" vertical="top" wrapText="1"/>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0" fillId="0" borderId="16" xfId="0" applyBorder="1"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0" borderId="20" xfId="0" applyBorder="1" applyAlignment="1" applyProtection="1">
      <alignment horizontal="left" vertical="center" wrapText="1"/>
      <protection locked="0"/>
    </xf>
    <xf numFmtId="0" fontId="13" fillId="0" borderId="0" xfId="0" applyFont="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8" fillId="0" borderId="0" xfId="0" applyFont="1" applyAlignment="1" applyProtection="1">
      <alignment horizontal="center" vertical="top"/>
      <protection hidden="1"/>
    </xf>
    <xf numFmtId="0" fontId="0" fillId="0" borderId="8" xfId="0" applyBorder="1" applyAlignment="1" applyProtection="1">
      <alignment horizontal="center"/>
      <protection locked="0"/>
    </xf>
    <xf numFmtId="0" fontId="0" fillId="0" borderId="0" xfId="0" applyAlignment="1" applyProtection="1">
      <alignment horizontal="center"/>
      <protection locked="0"/>
    </xf>
    <xf numFmtId="0" fontId="0" fillId="0" borderId="9" xfId="0" applyBorder="1" applyAlignment="1" applyProtection="1">
      <alignment horizontal="center"/>
      <protection locked="0"/>
    </xf>
    <xf numFmtId="0" fontId="9" fillId="3" borderId="0" xfId="1" applyFont="1" applyFill="1" applyAlignment="1" applyProtection="1">
      <alignment horizontal="center"/>
      <protection hidden="1"/>
    </xf>
    <xf numFmtId="0" fontId="0" fillId="0" borderId="1" xfId="0" applyBorder="1" applyAlignment="1" applyProtection="1">
      <alignment vertical="center"/>
      <protection locked="0"/>
    </xf>
    <xf numFmtId="0" fontId="0" fillId="2" borderId="1" xfId="0" applyFill="1" applyBorder="1" applyAlignment="1">
      <alignment horizontal="center" vertical="center"/>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cellXfs>
  <cellStyles count="2">
    <cellStyle name="Hyperlink" xfId="1" builtinId="8"/>
    <cellStyle name="Normal" xfId="0" builtinId="0"/>
  </cellStyles>
  <dxfs count="90">
    <dxf>
      <font>
        <color theme="1" tint="0.34998626667073579"/>
      </font>
      <fill>
        <patternFill>
          <bgColor theme="1" tint="0.34998626667073579"/>
        </patternFill>
      </fill>
    </dxf>
    <dxf>
      <fill>
        <patternFill>
          <bgColor rgb="FFFF9999"/>
        </patternFill>
      </fill>
    </dxf>
    <dxf>
      <fill>
        <patternFill>
          <bgColor theme="5" tint="0.59996337778862885"/>
        </patternFill>
      </fill>
    </dxf>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ill>
        <patternFill>
          <bgColor rgb="FFFF9999"/>
        </patternFill>
      </fill>
    </dxf>
    <dxf>
      <font>
        <color theme="1" tint="0.34998626667073579"/>
      </font>
      <fill>
        <patternFill>
          <bgColor theme="1" tint="0.34998626667073579"/>
        </patternFill>
      </fill>
    </dxf>
    <dxf>
      <fill>
        <patternFill>
          <bgColor theme="5" tint="0.59996337778862885"/>
        </patternFill>
      </fill>
    </dxf>
    <dxf>
      <border>
        <left style="hair">
          <color theme="6"/>
        </left>
        <right style="hair">
          <color theme="6"/>
        </right>
        <top style="hair">
          <color theme="6"/>
        </top>
        <bottom style="hair">
          <color theme="6"/>
        </bottom>
        <vertical/>
        <horizontal/>
      </border>
    </dxf>
    <dxf>
      <fill>
        <patternFill>
          <bgColor rgb="FFFF9999"/>
        </patternFill>
      </fill>
    </dxf>
    <dxf>
      <font>
        <b/>
        <i val="0"/>
        <strike val="0"/>
        <color theme="0"/>
      </font>
      <fill>
        <gradientFill>
          <stop position="0">
            <color rgb="FF01BBEA"/>
          </stop>
          <stop position="1">
            <color rgb="FF20639E"/>
          </stop>
        </gradientFill>
      </fill>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ont>
        <color rgb="FF9C0006"/>
      </font>
      <fill>
        <patternFill>
          <bgColor rgb="FFFFC7CE"/>
        </patternFill>
      </fill>
    </dxf>
    <dxf>
      <font>
        <color rgb="FF9C0006"/>
      </font>
      <fill>
        <patternFill>
          <bgColor rgb="FFFFC7CE"/>
        </pattern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color theme="1" tint="0.34998626667073579"/>
      </font>
      <fill>
        <patternFill>
          <bgColor theme="1" tint="0.34998626667073579"/>
        </patternFill>
      </fill>
    </dxf>
    <dxf>
      <fill>
        <patternFill>
          <bgColor rgb="FFFF9999"/>
        </patternFill>
      </fill>
    </dxf>
    <dxf>
      <font>
        <color rgb="FF9C0006"/>
      </font>
      <fill>
        <patternFill>
          <bgColor rgb="FFFFC7CE"/>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1" tint="0.34998626667073579"/>
      </font>
      <fill>
        <patternFill>
          <bgColor theme="1" tint="0.34998626667073579"/>
        </patternFill>
      </fill>
    </dxf>
    <dxf>
      <fill>
        <patternFill>
          <bgColor theme="5" tint="0.59996337778862885"/>
        </patternFill>
      </fill>
    </dxf>
    <dxf>
      <font>
        <color theme="1" tint="0.34998626667073579"/>
      </font>
      <fill>
        <patternFill>
          <bgColor theme="1" tint="0.34998626667073579"/>
        </patternFill>
      </fill>
    </dxf>
    <dxf>
      <font>
        <color theme="1" tint="0.34998626667073579"/>
      </font>
      <fill>
        <patternFill>
          <bgColor theme="1" tint="0.34998626667073579"/>
        </patternFill>
      </fill>
    </dxf>
    <dxf>
      <border>
        <top style="thin">
          <color theme="6"/>
        </top>
        <bottom style="thin">
          <color theme="6"/>
        </bottom>
        <vertical/>
        <horizontal/>
      </border>
    </dxf>
    <dxf>
      <fill>
        <patternFill>
          <bgColor rgb="FFFF9999"/>
        </patternFill>
      </fill>
    </dxf>
    <dxf>
      <fill>
        <patternFill>
          <bgColor rgb="FFF7C7AC"/>
        </patternFill>
      </fill>
    </dxf>
    <dxf>
      <font>
        <color rgb="FF9C0006"/>
      </font>
      <fill>
        <patternFill>
          <bgColor rgb="FFFFC7CE"/>
        </patternFill>
      </fill>
    </dxf>
    <dxf>
      <fill>
        <patternFill>
          <bgColor rgb="FFFF9999"/>
        </patternFill>
      </fill>
    </dxf>
    <dxf>
      <fill>
        <patternFill>
          <bgColor rgb="FFFF9999"/>
        </patternFill>
      </fill>
    </dxf>
    <dxf>
      <border>
        <top style="thin">
          <color theme="6"/>
        </top>
        <bottom style="thin">
          <color theme="6"/>
        </bottom>
        <vertical/>
        <horizontal/>
      </border>
    </dxf>
    <dxf>
      <border>
        <top style="thin">
          <color theme="6"/>
        </top>
        <bottom style="thin">
          <color theme="6"/>
        </bottom>
        <vertical/>
        <horizontal/>
      </border>
    </dxf>
    <dxf>
      <fill>
        <patternFill>
          <bgColor rgb="FFFF9999"/>
        </patternFill>
      </fill>
    </dxf>
    <dxf>
      <fill>
        <patternFill>
          <bgColor theme="5" tint="0.59996337778862885"/>
        </patternFill>
      </fill>
    </dxf>
    <dxf>
      <fill>
        <patternFill>
          <bgColor theme="5" tint="0.59996337778862885"/>
        </patternFill>
      </fill>
    </dxf>
    <dxf>
      <fill>
        <patternFill>
          <bgColor rgb="FFFF9999"/>
        </pattern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rgb="FFC00000"/>
      </font>
      <fill>
        <patternFill>
          <bgColor rgb="FFFF9999"/>
        </patternFill>
      </fill>
    </dxf>
    <dxf>
      <font>
        <color rgb="FFC00000"/>
      </font>
    </dxf>
    <dxf>
      <font>
        <color rgb="FF20099B"/>
      </font>
    </dxf>
    <dxf>
      <font>
        <color rgb="FF20639E"/>
      </font>
    </dxf>
    <dxf>
      <fill>
        <patternFill>
          <bgColor rgb="FFFF9999"/>
        </patternFill>
      </fill>
    </dxf>
    <dxf>
      <fill>
        <patternFill>
          <bgColor rgb="FFFF9999"/>
        </patternFill>
      </fill>
    </dxf>
    <dxf>
      <fill>
        <patternFill>
          <bgColor rgb="FFF7C7AC"/>
        </patternFill>
      </fill>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ont>
        <b/>
        <i val="0"/>
        <strike val="0"/>
        <color theme="1"/>
      </font>
      <fill>
        <gradientFill>
          <stop position="0">
            <color rgb="FFF9C922"/>
          </stop>
          <stop position="1">
            <color rgb="FFF83800"/>
          </stop>
        </gradientFill>
      </fill>
    </dxf>
    <dxf>
      <font>
        <b/>
        <i val="0"/>
        <strike val="0"/>
        <color theme="0"/>
      </font>
      <fill>
        <gradientFill>
          <stop position="0">
            <color rgb="FF0D264E"/>
          </stop>
          <stop position="1">
            <color rgb="FF20099B"/>
          </stop>
        </gradientFill>
      </fill>
    </dxf>
    <dxf>
      <font>
        <b/>
        <i val="0"/>
        <strike val="0"/>
        <color theme="0"/>
      </font>
      <fill>
        <gradientFill>
          <stop position="0">
            <color rgb="FF01BBEA"/>
          </stop>
          <stop position="1">
            <color rgb="FF20639E"/>
          </stop>
        </gradientFill>
      </fill>
    </dxf>
    <dxf>
      <font>
        <b/>
        <i val="0"/>
        <color theme="0"/>
      </font>
      <fill>
        <gradientFill>
          <stop position="0">
            <color rgb="FF72BF4D"/>
          </stop>
          <stop position="1">
            <color rgb="FF01A5C1"/>
          </stop>
        </gradientFill>
      </fill>
    </dxf>
    <dxf>
      <font>
        <color auto="1"/>
      </font>
      <fill>
        <patternFill>
          <bgColor rgb="FFEAEAEA"/>
        </patternFill>
      </fill>
    </dxf>
    <dxf>
      <fill>
        <patternFill>
          <bgColor rgb="FFFF9999"/>
        </patternFill>
      </fill>
    </dxf>
    <dxf>
      <fill>
        <patternFill>
          <bgColor rgb="FFFF9999"/>
        </patternFill>
      </fill>
    </dxf>
    <dxf>
      <font>
        <b/>
        <i val="0"/>
        <strike val="0"/>
        <color theme="0"/>
      </font>
      <fill>
        <gradientFill>
          <stop position="0">
            <color theme="1"/>
          </stop>
          <stop position="1">
            <color theme="2" tint="-0.49803155613879818"/>
          </stop>
        </gradientFill>
      </fill>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top style="thin">
          <color theme="6"/>
        </top>
      </border>
    </dxf>
    <dxf>
      <alignment horizontal="left" vertical="center" textRotation="0" wrapText="1" indent="0" justifyLastLine="0" shrinkToFit="0" readingOrder="0"/>
      <protection locked="0" hidden="0"/>
    </dxf>
    <dxf>
      <border outline="0">
        <bottom style="thin">
          <color theme="6"/>
        </bottom>
      </border>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theme="6"/>
        </left>
        <right style="thin">
          <color theme="6"/>
        </right>
        <top/>
        <bottom/>
      </border>
      <protection locked="1" hidden="1"/>
    </dxf>
  </dxfs>
  <tableStyles count="0" defaultTableStyle="TableStyleMedium2" defaultPivotStyle="PivotStyleLight16"/>
  <colors>
    <mruColors>
      <color rgb="FFF7C7AC"/>
      <color rgb="FFFFCC99"/>
      <color rgb="FFFF9999"/>
      <color rgb="FFFF7C80"/>
      <color rgb="FFF83800"/>
      <color rgb="FF20099B"/>
      <color rgb="FF20639E"/>
      <color rgb="FF71BE4E"/>
      <color rgb="FF02A5C1"/>
      <color rgb="FF45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15240</xdr:rowOff>
    </xdr:from>
    <xdr:to>
      <xdr:col>23</xdr:col>
      <xdr:colOff>151543</xdr:colOff>
      <xdr:row>7</xdr:row>
      <xdr:rowOff>1035748</xdr:rowOff>
    </xdr:to>
    <xdr:pic>
      <xdr:nvPicPr>
        <xdr:cNvPr id="6" name="Picture 5">
          <a:extLst>
            <a:ext uri="{FF2B5EF4-FFF2-40B4-BE49-F238E27FC236}">
              <a16:creationId xmlns:a16="http://schemas.microsoft.com/office/drawing/2014/main" id="{813EC34E-234A-8EC1-93A4-2A40EE59BF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37240" y="15240"/>
          <a:ext cx="6857143" cy="4571428"/>
        </a:xfrm>
        <a:prstGeom prst="rect">
          <a:avLst/>
        </a:prstGeom>
      </xdr:spPr>
    </xdr:pic>
    <xdr:clientData/>
  </xdr:twoCellAnchor>
  <xdr:twoCellAnchor editAs="oneCell">
    <xdr:from>
      <xdr:col>15</xdr:col>
      <xdr:colOff>266700</xdr:colOff>
      <xdr:row>0</xdr:row>
      <xdr:rowOff>228600</xdr:rowOff>
    </xdr:from>
    <xdr:to>
      <xdr:col>17</xdr:col>
      <xdr:colOff>65405</xdr:colOff>
      <xdr:row>3</xdr:row>
      <xdr:rowOff>88265</xdr:rowOff>
    </xdr:to>
    <xdr:pic>
      <xdr:nvPicPr>
        <xdr:cNvPr id="13" name="Picture 12">
          <a:extLst>
            <a:ext uri="{FF2B5EF4-FFF2-40B4-BE49-F238E27FC236}">
              <a16:creationId xmlns:a16="http://schemas.microsoft.com/office/drawing/2014/main" id="{6F8E532F-BAC6-EB02-37FF-D3899297EA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32740" y="228600"/>
          <a:ext cx="1017905" cy="1017905"/>
        </a:xfrm>
        <a:prstGeom prst="rect">
          <a:avLst/>
        </a:prstGeom>
      </xdr:spPr>
    </xdr:pic>
    <xdr:clientData/>
  </xdr:twoCellAnchor>
  <xdr:twoCellAnchor editAs="oneCell">
    <xdr:from>
      <xdr:col>16</xdr:col>
      <xdr:colOff>488614</xdr:colOff>
      <xdr:row>0</xdr:row>
      <xdr:rowOff>91441</xdr:rowOff>
    </xdr:from>
    <xdr:to>
      <xdr:col>20</xdr:col>
      <xdr:colOff>533419</xdr:colOff>
      <xdr:row>3</xdr:row>
      <xdr:rowOff>289560</xdr:rowOff>
    </xdr:to>
    <xdr:pic>
      <xdr:nvPicPr>
        <xdr:cNvPr id="15" name="Picture 14">
          <a:extLst>
            <a:ext uri="{FF2B5EF4-FFF2-40B4-BE49-F238E27FC236}">
              <a16:creationId xmlns:a16="http://schemas.microsoft.com/office/drawing/2014/main" id="{9C13D5CA-B908-6A16-7290-28343C619D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4254" y="91441"/>
          <a:ext cx="2483205" cy="1356359"/>
        </a:xfrm>
        <a:prstGeom prst="rect">
          <a:avLst/>
        </a:prstGeom>
      </xdr:spPr>
    </xdr:pic>
    <xdr:clientData/>
  </xdr:twoCellAnchor>
  <xdr:twoCellAnchor>
    <xdr:from>
      <xdr:col>13</xdr:col>
      <xdr:colOff>53340</xdr:colOff>
      <xdr:row>3</xdr:row>
      <xdr:rowOff>510540</xdr:rowOff>
    </xdr:from>
    <xdr:to>
      <xdr:col>21</xdr:col>
      <xdr:colOff>495300</xdr:colOff>
      <xdr:row>3</xdr:row>
      <xdr:rowOff>1097280</xdr:rowOff>
    </xdr:to>
    <xdr:sp macro="" textlink="$AA$518">
      <xdr:nvSpPr>
        <xdr:cNvPr id="16" name="TextBox 15">
          <a:extLst>
            <a:ext uri="{FF2B5EF4-FFF2-40B4-BE49-F238E27FC236}">
              <a16:creationId xmlns:a16="http://schemas.microsoft.com/office/drawing/2014/main" id="{A18A84F8-C29E-324D-C2CE-1B02781C0C64}"/>
            </a:ext>
          </a:extLst>
        </xdr:cNvPr>
        <xdr:cNvSpPr txBox="1"/>
      </xdr:nvSpPr>
      <xdr:spPr>
        <a:xfrm>
          <a:off x="24300180" y="166878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6B624-10AB-45ED-AFBD-E0E96AC9313E}" type="TxLink">
            <a:rPr lang="en-US" sz="2800" b="1" i="0" u="none" strike="noStrike">
              <a:solidFill>
                <a:schemeClr val="bg1"/>
              </a:solidFill>
              <a:latin typeface="CiscoSansTT" panose="020B0503020201020303" pitchFamily="34" charset="0"/>
              <a:cs typeface="CiscoSansTT" panose="020B0503020201020303" pitchFamily="34" charset="0"/>
            </a:rPr>
            <a:pPr algn="l"/>
            <a:t>Cloud Calling</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3</xdr:row>
      <xdr:rowOff>1123950</xdr:rowOff>
    </xdr:from>
    <xdr:to>
      <xdr:col>21</xdr:col>
      <xdr:colOff>495300</xdr:colOff>
      <xdr:row>5</xdr:row>
      <xdr:rowOff>179070</xdr:rowOff>
    </xdr:to>
    <xdr:sp macro="" textlink="$AA$519">
      <xdr:nvSpPr>
        <xdr:cNvPr id="17" name="TextBox 16">
          <a:extLst>
            <a:ext uri="{FF2B5EF4-FFF2-40B4-BE49-F238E27FC236}">
              <a16:creationId xmlns:a16="http://schemas.microsoft.com/office/drawing/2014/main" id="{843DF83B-7ABF-44FF-96A6-3F03DCF63387}"/>
            </a:ext>
          </a:extLst>
        </xdr:cNvPr>
        <xdr:cNvSpPr txBox="1"/>
      </xdr:nvSpPr>
      <xdr:spPr>
        <a:xfrm>
          <a:off x="24300180" y="228219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32A9FE-BB63-4750-9FE8-B107850DBB1E}" type="TxLink">
            <a:rPr lang="en-US" sz="2800" b="1" i="0" u="none" strike="noStrike">
              <a:solidFill>
                <a:schemeClr val="bg1"/>
              </a:solidFill>
              <a:latin typeface="CiscoSansTT" panose="020B0503020201020303" pitchFamily="34" charset="0"/>
              <a:cs typeface="CiscoSansTT" panose="020B0503020201020303" pitchFamily="34" charset="0"/>
            </a:rPr>
            <a:pPr algn="l"/>
            <a:t>Deployment</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5</xdr:row>
      <xdr:rowOff>205740</xdr:rowOff>
    </xdr:from>
    <xdr:to>
      <xdr:col>21</xdr:col>
      <xdr:colOff>495300</xdr:colOff>
      <xdr:row>6</xdr:row>
      <xdr:rowOff>297180</xdr:rowOff>
    </xdr:to>
    <xdr:sp macro="" textlink="$AA$520">
      <xdr:nvSpPr>
        <xdr:cNvPr id="18" name="TextBox 17">
          <a:extLst>
            <a:ext uri="{FF2B5EF4-FFF2-40B4-BE49-F238E27FC236}">
              <a16:creationId xmlns:a16="http://schemas.microsoft.com/office/drawing/2014/main" id="{C0322677-8755-47F3-B3D7-FA14D365037C}"/>
            </a:ext>
          </a:extLst>
        </xdr:cNvPr>
        <xdr:cNvSpPr txBox="1"/>
      </xdr:nvSpPr>
      <xdr:spPr>
        <a:xfrm>
          <a:off x="24300180" y="289560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D5B2F-5EE7-4C1A-BE93-34251C297733}" type="TxLink">
            <a:rPr lang="en-US" sz="2800" b="1" i="0" u="none" strike="noStrike">
              <a:solidFill>
                <a:schemeClr val="bg1"/>
              </a:solidFill>
              <a:latin typeface="CiscoSansTT" panose="020B0503020201020303" pitchFamily="34" charset="0"/>
              <a:cs typeface="CiscoSansTT" panose="020B0503020201020303" pitchFamily="34" charset="0"/>
            </a:rPr>
            <a:pPr/>
            <a:t> </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15</xdr:col>
      <xdr:colOff>426720</xdr:colOff>
      <xdr:row>7</xdr:row>
      <xdr:rowOff>266700</xdr:rowOff>
    </xdr:from>
    <xdr:to>
      <xdr:col>19</xdr:col>
      <xdr:colOff>457200</xdr:colOff>
      <xdr:row>7</xdr:row>
      <xdr:rowOff>853440</xdr:rowOff>
    </xdr:to>
    <xdr:sp macro="" textlink="$F$10">
      <xdr:nvSpPr>
        <xdr:cNvPr id="19" name="TextBox 18">
          <a:extLst>
            <a:ext uri="{FF2B5EF4-FFF2-40B4-BE49-F238E27FC236}">
              <a16:creationId xmlns:a16="http://schemas.microsoft.com/office/drawing/2014/main" id="{C97762E5-7FB4-45AE-A144-03458411447F}"/>
            </a:ext>
          </a:extLst>
        </xdr:cNvPr>
        <xdr:cNvSpPr txBox="1"/>
      </xdr:nvSpPr>
      <xdr:spPr>
        <a:xfrm>
          <a:off x="25892760" y="3817620"/>
          <a:ext cx="2468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8998B-F47A-4857-A984-30D640966124}" type="TxLink">
            <a:rPr lang="en-US" sz="2800" b="0" i="0" u="none" strike="noStrike">
              <a:solidFill>
                <a:schemeClr val="bg1"/>
              </a:solidFill>
              <a:latin typeface="CiscoSansTT" panose="020B0503020201020303" pitchFamily="34" charset="0"/>
              <a:cs typeface="CiscoSansTT" panose="020B0503020201020303" pitchFamily="34" charset="0"/>
            </a:rPr>
            <a:pPr algn="ctr"/>
            <a:t>Stage 2</a:t>
          </a:fld>
          <a:endParaRPr lang="en-IN" sz="2800">
            <a:solidFill>
              <a:schemeClr val="bg1"/>
            </a:solidFill>
            <a:latin typeface="CiscoSansTT" panose="020B0503020201020303" pitchFamily="34" charset="0"/>
            <a:cs typeface="CiscoSansTT" panose="020B05030202010203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3615728</xdr:colOff>
      <xdr:row>44</xdr:row>
      <xdr:rowOff>175260</xdr:rowOff>
    </xdr:to>
    <xdr:pic>
      <xdr:nvPicPr>
        <xdr:cNvPr id="2" name="Picture 1">
          <a:extLst>
            <a:ext uri="{FF2B5EF4-FFF2-40B4-BE49-F238E27FC236}">
              <a16:creationId xmlns:a16="http://schemas.microsoft.com/office/drawing/2014/main" id="{20E335E0-AB35-4BBB-9628-DAA04488F390}"/>
            </a:ext>
          </a:extLst>
        </xdr:cNvPr>
        <xdr:cNvPicPr>
          <a:picLocks noChangeAspect="1"/>
        </xdr:cNvPicPr>
      </xdr:nvPicPr>
      <xdr:blipFill>
        <a:blip xmlns:r="http://schemas.openxmlformats.org/officeDocument/2006/relationships" r:embed="rId1"/>
        <a:stretch>
          <a:fillRect/>
        </a:stretch>
      </xdr:blipFill>
      <xdr:spPr>
        <a:xfrm>
          <a:off x="0" y="6240780"/>
          <a:ext cx="18886208" cy="9349740"/>
        </a:xfrm>
        <a:prstGeom prst="rect">
          <a:avLst/>
        </a:prstGeom>
      </xdr:spPr>
    </xdr:pic>
    <xdr:clientData/>
  </xdr:twoCellAnchor>
  <xdr:twoCellAnchor>
    <xdr:from>
      <xdr:col>1</xdr:col>
      <xdr:colOff>76198</xdr:colOff>
      <xdr:row>20</xdr:row>
      <xdr:rowOff>91439</xdr:rowOff>
    </xdr:from>
    <xdr:to>
      <xdr:col>4</xdr:col>
      <xdr:colOff>4750317</xdr:colOff>
      <xdr:row>34</xdr:row>
      <xdr:rowOff>148465</xdr:rowOff>
    </xdr:to>
    <xdr:grpSp>
      <xdr:nvGrpSpPr>
        <xdr:cNvPr id="3" name="G5">
          <a:extLst>
            <a:ext uri="{FF2B5EF4-FFF2-40B4-BE49-F238E27FC236}">
              <a16:creationId xmlns:a16="http://schemas.microsoft.com/office/drawing/2014/main" id="{9753A741-A1C4-4DC3-8C5F-61A608E6CFE2}"/>
            </a:ext>
          </a:extLst>
        </xdr:cNvPr>
        <xdr:cNvGrpSpPr/>
      </xdr:nvGrpSpPr>
      <xdr:grpSpPr>
        <a:xfrm>
          <a:off x="1600198" y="8803639"/>
          <a:ext cx="13259319" cy="4870326"/>
          <a:chOff x="871287" y="2285337"/>
          <a:chExt cx="8666195" cy="3390271"/>
        </a:xfrm>
      </xdr:grpSpPr>
      <xdr:sp macro="" textlink="">
        <xdr:nvSpPr>
          <xdr:cNvPr id="4" name="SS2_L1">
            <a:extLst>
              <a:ext uri="{FF2B5EF4-FFF2-40B4-BE49-F238E27FC236}">
                <a16:creationId xmlns:a16="http://schemas.microsoft.com/office/drawing/2014/main" id="{9AF4A67A-D86C-272B-9296-9027294E40BD}"/>
              </a:ext>
            </a:extLst>
          </xdr:cNvPr>
          <xdr:cNvSpPr txBox="1">
            <a:spLocks/>
          </xdr:cNvSpPr>
        </xdr:nvSpPr>
        <xdr:spPr>
          <a:xfrm>
            <a:off x="871287" y="2285337"/>
            <a:ext cx="7752521" cy="21544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2276" rtl="0" eaLnBrk="1" fontAlgn="base" latinLnBrk="0" hangingPunct="1">
              <a:lnSpc>
                <a:spcPct val="100000"/>
              </a:lnSpc>
              <a:spcBef>
                <a:spcPts val="0"/>
              </a:spcBef>
              <a:spcAft>
                <a:spcPts val="1000"/>
              </a:spcAft>
              <a:buClr>
                <a:srgbClr val="07182D"/>
              </a:buClr>
              <a:buSzPct val="100000"/>
              <a:buFontTx/>
              <a:buNone/>
              <a:tabLst/>
              <a:defRPr/>
            </a:pPr>
            <a:r>
              <a:rPr kumimoji="0" lang="en-US" sz="1400" i="0" u="none" strike="noStrike" kern="1200" cap="none" spc="0" normalizeH="0" baseline="0">
                <a:ln>
                  <a:noFill/>
                </a:ln>
                <a:solidFill>
                  <a:schemeClr val="bg1"/>
                </a:solidFill>
                <a:effectLst/>
                <a:uLnTx/>
                <a:uFillTx/>
                <a:latin typeface="CiscoSansTT (Body)"/>
              </a:rPr>
              <a:t>To earn certification, successfully complete the following missions:-</a:t>
            </a:r>
            <a:endParaRPr kumimoji="0" lang="en-IN" sz="1400" i="0" u="none" strike="noStrike" kern="1200" cap="none" spc="0" normalizeH="0" baseline="0">
              <a:ln>
                <a:noFill/>
              </a:ln>
              <a:solidFill>
                <a:schemeClr val="bg1"/>
              </a:solidFill>
              <a:effectLst/>
              <a:uLnTx/>
              <a:uFillTx/>
              <a:latin typeface="CiscoSansTT (Body)"/>
              <a:ea typeface="ＭＳ Ｐゴシック" charset="0"/>
            </a:endParaRPr>
          </a:p>
        </xdr:txBody>
      </xdr:sp>
      <xdr:sp macro="" textlink="$B$9">
        <xdr:nvSpPr>
          <xdr:cNvPr id="5" name="Or5">
            <a:extLst>
              <a:ext uri="{FF2B5EF4-FFF2-40B4-BE49-F238E27FC236}">
                <a16:creationId xmlns:a16="http://schemas.microsoft.com/office/drawing/2014/main" id="{F2FDBC6C-FE32-552C-DB27-0410E6A86F23}"/>
              </a:ext>
            </a:extLst>
          </xdr:cNvPr>
          <xdr:cNvSpPr txBox="1">
            <a:spLocks/>
          </xdr:cNvSpPr>
        </xdr:nvSpPr>
        <xdr:spPr>
          <a:xfrm>
            <a:off x="1152087" y="5437847"/>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402F1D2-853A-449B-8564-EC46DD732ADD}"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9">
        <xdr:nvSpPr>
          <xdr:cNvPr id="7" name="SubMission5">
            <a:extLst>
              <a:ext uri="{FF2B5EF4-FFF2-40B4-BE49-F238E27FC236}">
                <a16:creationId xmlns:a16="http://schemas.microsoft.com/office/drawing/2014/main" id="{6BD62D7C-671A-CD40-D1BA-6F1FDDAC7378}"/>
              </a:ext>
            </a:extLst>
          </xdr:cNvPr>
          <xdr:cNvSpPr txBox="1"/>
        </xdr:nvSpPr>
        <xdr:spPr>
          <a:xfrm>
            <a:off x="1852516" y="5574724"/>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8E35B11F-62D6-42FD-809F-4321C1877DCD}"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9">
        <xdr:nvSpPr>
          <xdr:cNvPr id="8" name="Mission5">
            <a:extLst>
              <a:ext uri="{FF2B5EF4-FFF2-40B4-BE49-F238E27FC236}">
                <a16:creationId xmlns:a16="http://schemas.microsoft.com/office/drawing/2014/main" id="{912FD7B9-0A01-D73E-7913-12889262E397}"/>
              </a:ext>
            </a:extLst>
          </xdr:cNvPr>
          <xdr:cNvSpPr txBox="1"/>
        </xdr:nvSpPr>
        <xdr:spPr>
          <a:xfrm>
            <a:off x="1852516" y="5287762"/>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DB1B2A1-4D6F-475F-930A-8110FC2007D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8">
        <xdr:nvSpPr>
          <xdr:cNvPr id="9" name="Or4">
            <a:extLst>
              <a:ext uri="{FF2B5EF4-FFF2-40B4-BE49-F238E27FC236}">
                <a16:creationId xmlns:a16="http://schemas.microsoft.com/office/drawing/2014/main" id="{FA9799FA-B260-F0FE-ECAA-916C1A8BC691}"/>
              </a:ext>
            </a:extLst>
          </xdr:cNvPr>
          <xdr:cNvSpPr txBox="1">
            <a:spLocks/>
          </xdr:cNvSpPr>
        </xdr:nvSpPr>
        <xdr:spPr>
          <a:xfrm>
            <a:off x="1184286" y="4810919"/>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0201970-5309-4FF6-8CAF-04E6F6D914C0}"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8">
        <xdr:nvSpPr>
          <xdr:cNvPr id="11" name="SubMission4">
            <a:extLst>
              <a:ext uri="{FF2B5EF4-FFF2-40B4-BE49-F238E27FC236}">
                <a16:creationId xmlns:a16="http://schemas.microsoft.com/office/drawing/2014/main" id="{DD8A8AA9-3F47-1BA6-E02B-0B66CE659C4C}"/>
              </a:ext>
            </a:extLst>
          </xdr:cNvPr>
          <xdr:cNvSpPr txBox="1"/>
        </xdr:nvSpPr>
        <xdr:spPr>
          <a:xfrm>
            <a:off x="1852516" y="4939245"/>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2B6485-3025-4C5D-B1BD-B853EA599F57}"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8">
        <xdr:nvSpPr>
          <xdr:cNvPr id="12" name="Mission4">
            <a:extLst>
              <a:ext uri="{FF2B5EF4-FFF2-40B4-BE49-F238E27FC236}">
                <a16:creationId xmlns:a16="http://schemas.microsoft.com/office/drawing/2014/main" id="{A77E0C9B-F15B-D668-A831-CC12982824F7}"/>
              </a:ext>
            </a:extLst>
          </xdr:cNvPr>
          <xdr:cNvSpPr txBox="1"/>
        </xdr:nvSpPr>
        <xdr:spPr>
          <a:xfrm>
            <a:off x="1852516" y="4652283"/>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D03BCB44-C8A9-4280-8944-2CC2393F237D}"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7">
        <xdr:nvSpPr>
          <xdr:cNvPr id="13" name="Or3">
            <a:extLst>
              <a:ext uri="{FF2B5EF4-FFF2-40B4-BE49-F238E27FC236}">
                <a16:creationId xmlns:a16="http://schemas.microsoft.com/office/drawing/2014/main" id="{F74F7C04-8AB2-23D5-AFFE-912D69AFB7DE}"/>
              </a:ext>
            </a:extLst>
          </xdr:cNvPr>
          <xdr:cNvSpPr txBox="1">
            <a:spLocks/>
          </xdr:cNvSpPr>
        </xdr:nvSpPr>
        <xdr:spPr>
          <a:xfrm>
            <a:off x="1184286" y="4125380"/>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1EDE200-327C-47EF-8F66-299C76E207D1}"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7">
        <xdr:nvSpPr>
          <xdr:cNvPr id="15" name="Submission3">
            <a:extLst>
              <a:ext uri="{FF2B5EF4-FFF2-40B4-BE49-F238E27FC236}">
                <a16:creationId xmlns:a16="http://schemas.microsoft.com/office/drawing/2014/main" id="{4E9E541E-48A9-2913-959D-D02EA05BC3E3}"/>
              </a:ext>
            </a:extLst>
          </xdr:cNvPr>
          <xdr:cNvSpPr txBox="1"/>
        </xdr:nvSpPr>
        <xdr:spPr>
          <a:xfrm>
            <a:off x="1852516" y="4303766"/>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66DD43-F1E6-41A4-B0A7-E5A1675CD239}"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7">
        <xdr:nvSpPr>
          <xdr:cNvPr id="16" name="Mission3">
            <a:extLst>
              <a:ext uri="{FF2B5EF4-FFF2-40B4-BE49-F238E27FC236}">
                <a16:creationId xmlns:a16="http://schemas.microsoft.com/office/drawing/2014/main" id="{6DA504C7-D673-6FD9-08AE-40883B3CDBBD}"/>
              </a:ext>
            </a:extLst>
          </xdr:cNvPr>
          <xdr:cNvSpPr txBox="1"/>
        </xdr:nvSpPr>
        <xdr:spPr>
          <a:xfrm>
            <a:off x="1852516" y="4016805"/>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7EB699F4-D010-4CE6-AD6A-81A4172701C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6">
        <xdr:nvSpPr>
          <xdr:cNvPr id="17" name="Or2">
            <a:extLst>
              <a:ext uri="{FF2B5EF4-FFF2-40B4-BE49-F238E27FC236}">
                <a16:creationId xmlns:a16="http://schemas.microsoft.com/office/drawing/2014/main" id="{84AC33F4-09DB-B3BA-49A7-4FF56244D10D}"/>
              </a:ext>
            </a:extLst>
          </xdr:cNvPr>
          <xdr:cNvSpPr txBox="1">
            <a:spLocks/>
          </xdr:cNvSpPr>
        </xdr:nvSpPr>
        <xdr:spPr>
          <a:xfrm>
            <a:off x="1184286" y="3536735"/>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E6B8ABB-9E95-47C5-9D74-853F3AC9E0C8}"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6">
        <xdr:nvSpPr>
          <xdr:cNvPr id="19" name="SubMission2">
            <a:extLst>
              <a:ext uri="{FF2B5EF4-FFF2-40B4-BE49-F238E27FC236}">
                <a16:creationId xmlns:a16="http://schemas.microsoft.com/office/drawing/2014/main" id="{08B94D33-547F-35EF-7959-D6C760432BA7}"/>
              </a:ext>
            </a:extLst>
          </xdr:cNvPr>
          <xdr:cNvSpPr txBox="1"/>
        </xdr:nvSpPr>
        <xdr:spPr>
          <a:xfrm>
            <a:off x="1852516" y="3668289"/>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765B4244-A6E5-4FED-A7E6-587DAAF8CE61}"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6">
        <xdr:nvSpPr>
          <xdr:cNvPr id="20" name="Mission2">
            <a:extLst>
              <a:ext uri="{FF2B5EF4-FFF2-40B4-BE49-F238E27FC236}">
                <a16:creationId xmlns:a16="http://schemas.microsoft.com/office/drawing/2014/main" id="{66C3F24D-FCB6-7E8F-5290-7A55DEAD0FAE}"/>
              </a:ext>
            </a:extLst>
          </xdr:cNvPr>
          <xdr:cNvSpPr txBox="1"/>
        </xdr:nvSpPr>
        <xdr:spPr>
          <a:xfrm>
            <a:off x="1852516" y="3381328"/>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3D89CBBB-C3E7-4D33-A329-9C6E627B68F2}"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D$5">
        <xdr:nvSpPr>
          <xdr:cNvPr id="21" name="SubMission1">
            <a:extLst>
              <a:ext uri="{FF2B5EF4-FFF2-40B4-BE49-F238E27FC236}">
                <a16:creationId xmlns:a16="http://schemas.microsoft.com/office/drawing/2014/main" id="{8DD0C2EF-9360-42A7-CBA8-BDDA1EAE96E8}"/>
              </a:ext>
            </a:extLst>
          </xdr:cNvPr>
          <xdr:cNvSpPr txBox="1"/>
        </xdr:nvSpPr>
        <xdr:spPr>
          <a:xfrm>
            <a:off x="1852516" y="3032812"/>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C46F2935-4F82-4706-A0EB-902651A68442}"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5">
        <xdr:nvSpPr>
          <xdr:cNvPr id="22" name="Mission1">
            <a:extLst>
              <a:ext uri="{FF2B5EF4-FFF2-40B4-BE49-F238E27FC236}">
                <a16:creationId xmlns:a16="http://schemas.microsoft.com/office/drawing/2014/main" id="{5BDDF1FB-A4F7-9205-A7CD-1DDFBFE61C04}"/>
              </a:ext>
            </a:extLst>
          </xdr:cNvPr>
          <xdr:cNvSpPr txBox="1"/>
        </xdr:nvSpPr>
        <xdr:spPr>
          <a:xfrm>
            <a:off x="1852516" y="2745850"/>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6FF833F-677A-41BC-BAAF-7D88D7A5567B}"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MS" displayName="MS" ref="A19:K103" totalsRowShown="0" headerRowDxfId="89" dataDxfId="87" headerRowBorderDxfId="88" tableBorderDxfId="86">
  <autoFilter ref="A19:K103" xr:uid="{139E66CA-D47E-4FA5-83D3-F40EB107683C}"/>
  <tableColumns count="11">
    <tableColumn id="1" xr3:uid="{1A004B6F-88FF-4067-B334-FE679DF69280}" name="Section Order" dataDxfId="85"/>
    <tableColumn id="2" xr3:uid="{BF1C0ED3-78C0-416A-AFD3-429D00245A04}" name="Section Name" dataDxfId="84"/>
    <tableColumn id="3" xr3:uid="{25C6C2FC-C3BB-4202-8BDA-A4D3356F6A6C}" name="Section (M/O)" dataDxfId="83"/>
    <tableColumn id="4" xr3:uid="{0C6C65CE-1CA4-47AA-B5CA-EC4B910D788A}" name="Module Order" dataDxfId="82"/>
    <tableColumn id="5" xr3:uid="{A5BA531C-B100-487F-8AC9-7C1882CD9926}" name="Module Type" dataDxfId="81"/>
    <tableColumn id="6" xr3:uid="{45DF50A9-1C59-42F7-8667-508E69F6725B}" name="Module Title" dataDxfId="80"/>
    <tableColumn id="7" xr3:uid="{CEA7D4D4-156D-4419-ACF1-BDF9A5687B67}" name="Duration (mins)" dataDxfId="79"/>
    <tableColumn id="8" xr3:uid="{943DC0F1-2D92-4D6C-9A8B-1E6AD1E36C54}" name="Module Description" dataDxfId="78"/>
    <tableColumn id="9" xr3:uid="{B9A1DD10-C547-4A64-93F2-C6ED28BEB31F}" name="Module (M/O)" dataDxfId="77"/>
    <tableColumn id="10" xr3:uid="{EA3EBE57-8DC8-433D-B19F-FA25B6530D96}" name="Module File Name" dataDxfId="76"/>
    <tableColumn id="11" xr3:uid="{04AB566B-60B0-47D7-9214-98A886B4526C}" name="Module Link" dataDxfId="7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s/CiscoBlackBeltPartnerAcademy/IgDnFs4WPoIDT6GyDFJwemdiAV1ak5I44Kb9ZQy-O6BAKes?e=jAZTU8" TargetMode="External"/><Relationship Id="rId2" Type="http://schemas.openxmlformats.org/officeDocument/2006/relationships/hyperlink" Target="../../../../../../:f:/s/CiscoBlackBeltPartnerAcademy/IgDjqmXVD1zTRpH3Ngbc81F7AcpWHamV6dh4s2Mp3pMagzU?e=Z29klW" TargetMode="External"/><Relationship Id="rId1" Type="http://schemas.openxmlformats.org/officeDocument/2006/relationships/hyperlink" Target="../../../../../Collaboration%20Content%20Inventory/_layouts/15/download.aspx?SourceUrl=/Sites/CiscoBlackBeltPartnerAcademy/Shared%20Documents/Black%20Belt%20Automation/Mindtickle%20Templates/260420_Series_Template_v3.xlsx"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file:///C:/Users/:f:/s/CiscoBlackBeltPartnerAcademy/EucWzhY-ggNPobIMUnB6Z2IBguYhZY0l01Vhnwcoe4fB2g?e=A00g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sheetPr codeName="Sheet2"/>
  <dimension ref="A1:BH959"/>
  <sheetViews>
    <sheetView showGridLines="0" tabSelected="1" topLeftCell="A62" zoomScaleNormal="100" workbookViewId="0">
      <selection activeCell="D73" sqref="D73"/>
    </sheetView>
  </sheetViews>
  <sheetFormatPr baseColWidth="10" defaultColWidth="8.83203125" defaultRowHeight="15" x14ac:dyDescent="0.2"/>
  <cols>
    <col min="1" max="1" width="14.33203125" customWidth="1"/>
    <col min="2" max="2" width="33.33203125" customWidth="1"/>
    <col min="3" max="3" width="14.5" customWidth="1"/>
    <col min="4" max="4" width="16.1640625" customWidth="1"/>
    <col min="5" max="5" width="13" customWidth="1"/>
    <col min="6" max="6" width="55.6640625" customWidth="1"/>
    <col min="7" max="7" width="14.33203125" customWidth="1"/>
    <col min="8" max="8" width="63" customWidth="1"/>
    <col min="9" max="9" width="14.5" customWidth="1"/>
    <col min="10" max="10" width="75" customWidth="1"/>
    <col min="11" max="11" width="15.83203125" customWidth="1"/>
    <col min="12" max="12" width="15.1640625" customWidth="1"/>
    <col min="13" max="13" width="8.83203125" customWidth="1"/>
    <col min="24" max="24" width="2.1640625" customWidth="1"/>
    <col min="26" max="26" width="8.83203125" customWidth="1"/>
    <col min="27" max="27" width="22.5" hidden="1" customWidth="1"/>
    <col min="28" max="28" width="8.83203125" hidden="1" customWidth="1"/>
    <col min="29" max="29" width="29.5" hidden="1" customWidth="1"/>
    <col min="30" max="30" width="22.83203125" hidden="1" customWidth="1"/>
    <col min="31" max="37" width="8.83203125" hidden="1" customWidth="1"/>
    <col min="38" max="38" width="17.1640625" hidden="1" customWidth="1"/>
    <col min="39" max="42" width="8.83203125" hidden="1" customWidth="1"/>
    <col min="43" max="43" width="20.83203125" hidden="1" customWidth="1"/>
    <col min="44" max="44" width="36.1640625" hidden="1" customWidth="1"/>
    <col min="45" max="50" width="8.83203125" hidden="1" customWidth="1"/>
    <col min="51" max="51" width="18.5" hidden="1" customWidth="1"/>
    <col min="52" max="59" width="8.83203125" hidden="1" customWidth="1"/>
    <col min="60" max="60" width="17.83203125" hidden="1" customWidth="1"/>
    <col min="61" max="62" width="0" hidden="1" customWidth="1"/>
  </cols>
  <sheetData>
    <row r="1" spans="1:24" ht="29.5" customHeight="1" x14ac:dyDescent="0.2">
      <c r="A1" s="58" t="s">
        <v>678</v>
      </c>
      <c r="B1" s="58"/>
      <c r="C1" s="58"/>
      <c r="D1" s="58"/>
      <c r="E1" s="58"/>
      <c r="F1" s="58"/>
      <c r="G1" s="58"/>
      <c r="H1" s="58"/>
      <c r="I1" s="58"/>
      <c r="J1" s="58"/>
      <c r="K1" s="58"/>
      <c r="L1" s="58"/>
      <c r="M1" s="63"/>
      <c r="N1" s="63"/>
      <c r="O1" s="63"/>
      <c r="P1" s="63"/>
      <c r="Q1" s="63"/>
      <c r="R1" s="63"/>
      <c r="S1" s="63"/>
      <c r="T1" s="63"/>
      <c r="U1" s="63"/>
      <c r="V1" s="63"/>
      <c r="W1" s="63"/>
      <c r="X1" s="63"/>
    </row>
    <row r="2" spans="1:24" s="16" customFormat="1" x14ac:dyDescent="0.2">
      <c r="A2" s="15"/>
      <c r="B2" s="15"/>
      <c r="C2" s="15"/>
      <c r="D2" s="15"/>
      <c r="E2" s="15"/>
      <c r="F2" s="15"/>
      <c r="G2" s="15"/>
      <c r="H2" s="15"/>
      <c r="I2" s="15"/>
      <c r="J2" s="15"/>
      <c r="K2" s="15"/>
      <c r="L2" s="15"/>
      <c r="M2" s="64"/>
      <c r="N2" s="64"/>
      <c r="O2" s="64"/>
      <c r="P2" s="64"/>
      <c r="Q2" s="64"/>
      <c r="R2" s="64"/>
      <c r="S2" s="64"/>
      <c r="T2" s="64"/>
      <c r="U2" s="64"/>
      <c r="V2" s="64"/>
      <c r="W2" s="64"/>
      <c r="X2" s="64"/>
    </row>
    <row r="3" spans="1:24" s="21" customFormat="1" ht="47.5" customHeight="1" x14ac:dyDescent="0.2">
      <c r="A3" s="31"/>
      <c r="B3" s="59" t="str">
        <f ca="1">CLEAN(TRIM(IF(B6="Generated",
    IF(OR(ISBLANK(B10),ISBLANK(D10),ISBLANK(F10),ISBLANK(H10),ISBLANK(J10)), "",
        _xlfn.CONCAT(
            IF(H10="Distributor", "Black Belt Distribution ", "Black Belt "),
            VLOOKUP(B10,$AC:$AD,2,0), " ", D10, " ", F10,
            IF(J10="English", "", " "&amp;VLOOKUP(J10,$AN$501:$AO$508,2,0)),
            " (", TEXT(TODAY(), "MMM YYYY"), ")"
        )
    ),
    IF(D6="", "", D6 &amp; " (" &amp; TEXT(TODAY(), "MMM YYYY") &amp; ")")
)))</f>
        <v>Black Belt Cloud Calling Deployment Stage 2 (Jun 2026)</v>
      </c>
      <c r="C3" s="59"/>
      <c r="D3" s="59"/>
      <c r="E3" s="59"/>
      <c r="F3" s="59"/>
      <c r="G3" s="59"/>
      <c r="H3" s="59"/>
      <c r="I3" s="31"/>
      <c r="J3" s="31"/>
      <c r="K3" s="31"/>
      <c r="L3" s="31"/>
      <c r="M3" s="64"/>
      <c r="N3" s="64"/>
      <c r="O3" s="64"/>
      <c r="P3" s="64"/>
      <c r="Q3" s="64"/>
      <c r="R3" s="64"/>
      <c r="S3" s="64"/>
      <c r="T3" s="64"/>
      <c r="U3" s="64"/>
      <c r="V3" s="64"/>
      <c r="W3" s="64"/>
      <c r="X3" s="64"/>
    </row>
    <row r="4" spans="1:24" s="21" customFormat="1" ht="106.25" customHeight="1" x14ac:dyDescent="0.2">
      <c r="A4" s="31"/>
      <c r="B4" s="60" t="str" cm="1">
        <f t="array" ref="B4">IF(OR(ISBLANK($B$12), ISBLANK($B$8)), "", _xlfn.LET(_xlpm.port_range, D16:I16, _xlpm.f, _xlfn._xlws.FILTER(_xlpm.port_range, _xlpm.port_range&lt;&gt;"", ""), _xlpm.c, IF(INDEX(_xlpm.f,1)="", 0, COLUMNS(_xlpm.f)), _xlpm.p_final, IF(_xlpm.c=0, "", IF(_xlpm.c=1, _xlpm.f, _xlfn.TEXTJOIN(", ", TRUE, _xlfn.TAKE(_xlpm.f, , _xlpm.c-1)) &amp; " &amp; " &amp; _xlfn.TAKE(_xlpm.f, , -1))), _xlpm.p_line, IF(AND(B16="yes", _xlpm.c&gt;0), "Cisco 360 Aligned Portfolio: " &amp; _xlpm.p_final &amp; ".", ""), _xlpm.d_line, "Estimated series completion duration: " &amp; IF(B12&gt;59, INT(B12/60) &amp; " h " &amp; MOD(B12, 60) &amp; " m", B12 &amp; " m"), _xlfn.TEXTJOIN(CHAR(10), TRUE, CLEAN(TRIM($B$8)), _xlpm.p_line, _xlpm.d_line)))</f>
        <v>This track introduces you to the deep dive aspects of Cloud Calling viz Dedicated Instance, migration deep dive , Webex Setup Assist etc. The track also covers Webex Calling Configuration &amp; Deployment in depth.
Estimated series completion duration: 12 h 27 m</v>
      </c>
      <c r="C4" s="60"/>
      <c r="D4" s="60"/>
      <c r="E4" s="60"/>
      <c r="F4" s="60"/>
      <c r="G4" s="60"/>
      <c r="H4" s="60"/>
      <c r="I4" s="31"/>
      <c r="J4" s="31"/>
      <c r="K4" s="31"/>
      <c r="L4" s="31"/>
      <c r="M4" s="64"/>
      <c r="N4" s="64"/>
      <c r="O4" s="64"/>
      <c r="P4" s="64"/>
      <c r="Q4" s="64"/>
      <c r="R4" s="64"/>
      <c r="S4" s="64"/>
      <c r="T4" s="64"/>
      <c r="U4" s="64"/>
      <c r="V4" s="64"/>
      <c r="W4" s="64"/>
      <c r="X4" s="64"/>
    </row>
    <row r="5" spans="1:24" s="21" customFormat="1" x14ac:dyDescent="0.2">
      <c r="A5" s="31"/>
      <c r="B5" s="31"/>
      <c r="C5" s="31"/>
      <c r="D5" s="31"/>
      <c r="E5" s="31"/>
      <c r="F5" s="31"/>
      <c r="G5" s="31"/>
      <c r="H5" s="31"/>
      <c r="I5" s="31"/>
      <c r="J5" s="31"/>
      <c r="K5" s="31"/>
      <c r="L5" s="31"/>
      <c r="M5" s="64"/>
      <c r="N5" s="64"/>
      <c r="O5" s="64"/>
      <c r="P5" s="64"/>
      <c r="Q5" s="64"/>
      <c r="R5" s="64"/>
      <c r="S5" s="64"/>
      <c r="T5" s="64"/>
      <c r="U5" s="64"/>
      <c r="V5" s="64"/>
      <c r="W5" s="64"/>
      <c r="X5" s="64"/>
    </row>
    <row r="6" spans="1:24" s="21" customFormat="1" ht="39" customHeight="1" x14ac:dyDescent="0.2">
      <c r="A6" s="33" t="s">
        <v>60</v>
      </c>
      <c r="B6" s="34" t="s">
        <v>689</v>
      </c>
      <c r="C6" s="31" t="str">
        <f>IF(B6="Manual","Custom Title","")</f>
        <v/>
      </c>
      <c r="D6" s="61"/>
      <c r="E6" s="61"/>
      <c r="F6" s="61"/>
      <c r="G6" s="61"/>
      <c r="H6" s="61"/>
      <c r="I6" s="61"/>
      <c r="J6" s="61"/>
      <c r="K6" s="31"/>
      <c r="L6" s="31"/>
      <c r="M6" s="64"/>
      <c r="N6" s="64"/>
      <c r="O6" s="64"/>
      <c r="P6" s="64"/>
      <c r="Q6" s="64"/>
      <c r="R6" s="64"/>
      <c r="S6" s="64"/>
      <c r="T6" s="64"/>
      <c r="U6" s="64"/>
      <c r="V6" s="64"/>
      <c r="W6" s="64"/>
      <c r="X6" s="64"/>
    </row>
    <row r="7" spans="1:24" s="21" customFormat="1" ht="29" customHeight="1" x14ac:dyDescent="0.2">
      <c r="A7" s="31"/>
      <c r="B7" s="31"/>
      <c r="C7" s="31"/>
      <c r="D7" s="31"/>
      <c r="E7" s="31"/>
      <c r="F7" s="31"/>
      <c r="G7" s="31"/>
      <c r="H7" s="31"/>
      <c r="I7" s="31"/>
      <c r="J7" s="31"/>
      <c r="K7" s="31"/>
      <c r="L7" s="31"/>
      <c r="M7" s="64"/>
      <c r="N7" s="64"/>
      <c r="O7" s="64"/>
      <c r="P7" s="64"/>
      <c r="Q7" s="64"/>
      <c r="R7" s="64"/>
      <c r="S7" s="64"/>
      <c r="T7" s="64"/>
      <c r="U7" s="64"/>
      <c r="V7" s="64"/>
      <c r="W7" s="64"/>
      <c r="X7" s="64"/>
    </row>
    <row r="8" spans="1:24" s="21" customFormat="1" ht="85.25" customHeight="1" x14ac:dyDescent="0.2">
      <c r="A8" s="35" t="s">
        <v>80</v>
      </c>
      <c r="B8" s="57" t="s">
        <v>690</v>
      </c>
      <c r="C8" s="57"/>
      <c r="D8" s="57"/>
      <c r="E8" s="57"/>
      <c r="F8" s="57"/>
      <c r="G8" s="57"/>
      <c r="H8" s="57"/>
      <c r="I8" s="57"/>
      <c r="J8" s="57"/>
      <c r="K8" s="31"/>
      <c r="L8" s="31"/>
      <c r="M8" s="65"/>
      <c r="N8" s="65"/>
      <c r="O8" s="65"/>
      <c r="P8" s="65"/>
      <c r="Q8" s="65"/>
      <c r="R8" s="65"/>
      <c r="S8" s="65"/>
      <c r="T8" s="65"/>
      <c r="U8" s="65"/>
      <c r="V8" s="65"/>
      <c r="W8" s="65"/>
      <c r="X8" s="65"/>
    </row>
    <row r="9" spans="1:24" s="21" customFormat="1" ht="39" customHeight="1" x14ac:dyDescent="0.2">
      <c r="A9" s="31"/>
      <c r="B9" s="31"/>
      <c r="C9" s="31"/>
      <c r="D9" s="31"/>
      <c r="E9" s="31"/>
      <c r="F9" s="31"/>
      <c r="G9" s="31"/>
      <c r="H9" s="31"/>
      <c r="I9" s="31"/>
      <c r="J9" s="31"/>
      <c r="K9" s="31"/>
      <c r="L9" s="31"/>
      <c r="M9" s="66" t="s">
        <v>687</v>
      </c>
      <c r="N9" s="67"/>
      <c r="O9" s="67"/>
      <c r="P9" s="67"/>
      <c r="Q9" s="67"/>
      <c r="R9" s="67"/>
      <c r="S9" s="67"/>
      <c r="T9" s="67"/>
      <c r="U9" s="67"/>
      <c r="V9" s="67"/>
      <c r="W9" s="67"/>
      <c r="X9" s="67"/>
    </row>
    <row r="10" spans="1:24" s="21" customFormat="1" ht="39" customHeight="1" x14ac:dyDescent="0.2">
      <c r="A10" s="35" t="s">
        <v>2</v>
      </c>
      <c r="B10" s="23" t="s">
        <v>192</v>
      </c>
      <c r="C10" s="35" t="s">
        <v>4</v>
      </c>
      <c r="D10" s="23" t="s">
        <v>17</v>
      </c>
      <c r="E10" s="35" t="s">
        <v>95</v>
      </c>
      <c r="F10" s="23" t="s">
        <v>691</v>
      </c>
      <c r="G10" s="35" t="s">
        <v>5</v>
      </c>
      <c r="H10" s="23" t="s">
        <v>42</v>
      </c>
      <c r="I10" s="35" t="s">
        <v>8</v>
      </c>
      <c r="J10" s="23" t="s">
        <v>21</v>
      </c>
      <c r="L10" s="31"/>
      <c r="M10" s="42" t="s">
        <v>684</v>
      </c>
      <c r="N10" s="39"/>
      <c r="O10" s="39"/>
      <c r="P10" s="39"/>
    </row>
    <row r="11" spans="1:24" s="21" customFormat="1" ht="39" customHeight="1" x14ac:dyDescent="0.2">
      <c r="A11" s="31" t="str">
        <f>IF(OR($B$6="Manual",$B$10="Other"),"TL1","")</f>
        <v/>
      </c>
      <c r="B11" s="24"/>
      <c r="C11" s="31" t="str">
        <f>IF(LEN($A$11)&gt;=3,"TL2","")</f>
        <v/>
      </c>
      <c r="D11" s="24"/>
      <c r="E11" s="31" t="str">
        <f>IF(LEN($C$11)&gt;=3,"TL3","")</f>
        <v/>
      </c>
      <c r="F11" s="24"/>
      <c r="G11" s="31"/>
      <c r="H11" s="31"/>
      <c r="I11" s="31"/>
      <c r="J11" s="31"/>
      <c r="K11" s="31"/>
      <c r="L11" s="31"/>
      <c r="M11" s="40"/>
      <c r="N11" s="38" t="s">
        <v>680</v>
      </c>
      <c r="O11" s="39"/>
      <c r="P11" s="39"/>
    </row>
    <row r="12" spans="1:24" s="21" customFormat="1" ht="39" customHeight="1" x14ac:dyDescent="0.2">
      <c r="A12" s="35" t="s">
        <v>104</v>
      </c>
      <c r="B12" s="36">
        <f>SUM(MS[Duration (mins)])</f>
        <v>747</v>
      </c>
      <c r="C12" s="35" t="s">
        <v>105</v>
      </c>
      <c r="D12" s="23" t="s">
        <v>20</v>
      </c>
      <c r="E12" s="35" t="s">
        <v>106</v>
      </c>
      <c r="F12" s="23"/>
      <c r="G12" s="35" t="s">
        <v>107</v>
      </c>
      <c r="H12" s="23" t="s">
        <v>20</v>
      </c>
      <c r="I12" s="35" t="s">
        <v>108</v>
      </c>
      <c r="J12" s="23" t="s">
        <v>692</v>
      </c>
      <c r="K12" s="31"/>
      <c r="L12" s="31"/>
      <c r="M12" s="41"/>
      <c r="N12" s="38" t="s">
        <v>681</v>
      </c>
      <c r="O12" s="39"/>
      <c r="P12" s="39"/>
    </row>
    <row r="13" spans="1:24" s="21" customFormat="1" ht="39" customHeight="1" x14ac:dyDescent="0.2">
      <c r="A13" s="31"/>
      <c r="B13" s="31"/>
      <c r="C13" s="31"/>
      <c r="D13" s="31"/>
      <c r="E13" s="31"/>
      <c r="F13" s="31"/>
      <c r="G13" s="31"/>
      <c r="H13" s="31"/>
      <c r="I13" s="31"/>
      <c r="J13" s="31"/>
      <c r="K13" s="31"/>
      <c r="L13" s="31"/>
      <c r="M13" s="48"/>
      <c r="N13" s="49" t="s">
        <v>685</v>
      </c>
      <c r="O13" s="50"/>
      <c r="P13" s="50"/>
    </row>
    <row r="14" spans="1:24" s="21" customFormat="1" ht="39" customHeight="1" x14ac:dyDescent="0.2">
      <c r="A14" s="35" t="s">
        <v>117</v>
      </c>
      <c r="B14" s="23"/>
      <c r="C14" s="35" t="s">
        <v>118</v>
      </c>
      <c r="D14" s="23"/>
      <c r="E14" s="35" t="s">
        <v>119</v>
      </c>
      <c r="F14" s="36" t="str">
        <f>_xlfn.LET(_xlpm.common,(B6&lt;&gt;"")+(B8&lt;&gt;"")+(B10&lt;&gt;"")+(B14&lt;&gt;"")+(B16&lt;&gt;"")+(D10&lt;&gt;"")+(D12&lt;&gt;"")+(D14&lt;&gt;"")+(F10&lt;&gt;"")+(F12&lt;&gt;"")+(H10&lt;&gt;"")+(H12&lt;&gt;"")+(J10&lt;&gt;"")+(J12&lt;&gt;""),_xlpm.ex_b16_num,IF(B16="yes",(D16&lt;&gt;""),0),_xlpm.ex_b16_den,IF(B16="yes",1,0),_xlpm.ex_manual_num,IF(B6="Manual",(D6&lt;&gt;""),0),_xlpm.ex_manual_den,IF(B6="Manual",1,0),_xlpm.ex_other_num,IF(OR(B6="Manual",B10="Other"),(B11&lt;&gt;"")+(D11&lt;&gt;""),0),_xlpm.ex_other_den,IF(OR(B6="Manual",B10="Other"),2,0),_xlpm.num,_xlpm.common+_xlpm.ex_b16_num+_xlpm.ex_manual_num+_xlpm.ex_other_num,_xlpm.den,14+_xlpm.ex_b16_den+_xlpm.ex_manual_den+_xlpm.ex_other_den,_xlpm.num&amp;"/"&amp;_xlpm.den)</f>
        <v>10/14</v>
      </c>
      <c r="G14" s="46" t="s">
        <v>120</v>
      </c>
      <c r="H14" s="31" t="str">
        <f ca="1">IF(LEN(B3)&lt;2, "", CLEAN(TRIM(SUBSTITUTE(SUBSTITUTE(SUBSTITUTE(SUBSTITUTE(B3, " ", "_"), "/", "_"), "\", "_"), ":", "_"))))</f>
        <v>Black_Belt_Cloud_Calling_Deployment_Stage_2_(Jun_2026)</v>
      </c>
      <c r="I14" s="54" t="s">
        <v>121</v>
      </c>
      <c r="J14" s="36" t="str">
        <f ca="1">IF(LEN(B3)&lt;2,"",TEXT(TODAY(),"YYMMDD")&amp;_xlfn.CONCAT("_",SUBSTITUTE(SUBSTITUTE(SUBSTITUTE(SUBSTITUTE(B3, " ", "_"), "/", "_"), "\", "_"), ":", "_")))</f>
        <v>260610_Black_Belt_Cloud_Calling_Deployment_Stage_2_(Jun_2026)</v>
      </c>
      <c r="K14" s="31" t="s">
        <v>122</v>
      </c>
      <c r="L14" s="31"/>
      <c r="M14" s="51" cm="1">
        <f t="array" aca="1" ref="M14" ca="1">_xlfn.LET(
    _xlpm.start, DATE(2026, 1, 26),
    _xlpm.steps, _xlfn.SEQUENCE(52, 1, 0),
    _xlpm.dates, _xlfn.MAP(_xlpm.steps, _xlfn.LAMBDA(_xlpm.k, _xlpm.start + (INT(_xlpm.k/3)*91) + CHOOSE(MOD(_xlpm.k,3)+1, 0, 28, 56))),
    MIN(_xlfn._xlws.FILTER(_xlpm.dates, _xlpm.dates &gt;= TODAY()))
)</f>
        <v>46195</v>
      </c>
      <c r="N14" s="62" t="s">
        <v>686</v>
      </c>
      <c r="O14" s="62"/>
      <c r="P14" s="62"/>
    </row>
    <row r="15" spans="1:24" s="21" customFormat="1" ht="39" customHeight="1" x14ac:dyDescent="0.2">
      <c r="A15" s="31"/>
      <c r="B15" s="31"/>
      <c r="C15" s="31"/>
      <c r="D15" s="31"/>
      <c r="E15" s="31"/>
      <c r="F15" s="31"/>
      <c r="G15" s="31"/>
      <c r="H15" s="31"/>
      <c r="I15" s="31"/>
      <c r="J15" s="31"/>
      <c r="K15" s="31"/>
      <c r="L15" s="31"/>
    </row>
    <row r="16" spans="1:24" s="21" customFormat="1" ht="39" customHeight="1" x14ac:dyDescent="0.2">
      <c r="A16" s="35" t="s">
        <v>129</v>
      </c>
      <c r="B16" s="23"/>
      <c r="C16" s="31" t="str">
        <f>IF($B$16="Yes","Portfolios Aligned","")</f>
        <v/>
      </c>
      <c r="D16" s="47"/>
      <c r="E16" s="45"/>
      <c r="F16" s="45"/>
      <c r="G16" s="45"/>
      <c r="H16" s="45"/>
      <c r="I16" s="45"/>
      <c r="J16" s="31"/>
      <c r="K16" s="31"/>
      <c r="L16" s="31"/>
    </row>
    <row r="17" spans="1:23" s="16" customFormat="1" ht="29" customHeight="1" x14ac:dyDescent="0.2">
      <c r="A17" s="15"/>
      <c r="B17" s="15"/>
      <c r="C17" s="15"/>
      <c r="D17" s="15"/>
      <c r="E17" s="15"/>
      <c r="F17" s="15"/>
      <c r="G17" s="15"/>
      <c r="H17" s="15"/>
      <c r="I17" s="15"/>
      <c r="J17" s="15"/>
      <c r="K17" s="15"/>
      <c r="L17" s="15"/>
    </row>
    <row r="18" spans="1:23" s="16" customFormat="1" ht="29" customHeight="1" x14ac:dyDescent="0.2">
      <c r="A18" s="22" cm="1">
        <f t="array" ref="A18">IFERROR(ROWS(_xlfn.UNIQUE(_xlfn._xlws.FILTER($A$20:$A$103, $A$20:$A$103&lt;&gt;""))), 0)</f>
        <v>9</v>
      </c>
      <c r="B18" s="22" cm="1">
        <f t="array" ref="B18">IFERROR(ROWS(_xlfn.UNIQUE(_xlfn._xlws.FILTER($B$20:$B$103, $B$20:$B$103&lt;&gt;""))), 0)</f>
        <v>9</v>
      </c>
      <c r="C18" s="22">
        <f>COUNTA(MS[Section (M/O)])</f>
        <v>54</v>
      </c>
      <c r="D18" s="22">
        <f>COUNT(MS[Module Order])</f>
        <v>54</v>
      </c>
      <c r="E18" s="22">
        <f>COUNTA(MS[Module Type])</f>
        <v>51</v>
      </c>
      <c r="F18" s="22" cm="1">
        <f t="array" ref="F18">IFERROR(ROWS(_xlfn.UNIQUE(_xlfn._xlws.FILTER(MS[Module Title], MS[Module Title]&lt;&gt;""))), 0)</f>
        <v>52</v>
      </c>
      <c r="G18" s="22">
        <f>COUNT(MS[Duration (mins)])</f>
        <v>51</v>
      </c>
      <c r="H18" s="22" cm="1">
        <f t="array" ref="H18">SUMPRODUCT(--((MS[Module Description]&lt;&gt;"") + (ISNUMBER(SEARCH("Partnerlearning", MS[Module Link]))) + (MS[Module Type]="assessment") &gt; 0))</f>
        <v>52</v>
      </c>
      <c r="I18" s="22">
        <f>COUNTA(MS[Module (M/O)])</f>
        <v>48</v>
      </c>
      <c r="J18" s="22" cm="1">
        <f t="array" ref="J18">_xlfn.LET(
    _xlpm.f_names, MS[Module File Name],
    _xlpm.m_types, MS[Module Type],
    _xlpm.m_links, MS[Module Link],
    _xlpm.virtual_ids, _xlfn.MAP(_xlpm.f_names, _xlpm.m_types, _xlpm.m_links, _xlfn.LAMBDA(_xlpm.fn,_xlpm.mt,_xlpm.ml,
        IF(OR(_xlpm.mt="HTML", ISNUMBER(SEARCH("partnerlearning", _xlpm.ml))),
           ROW(_xlpm.fn) &amp; "_special",
           IF(_xlpm.fn="", "", _xlpm.fn)
        )
    )),
    IFERROR(ROWS(_xlfn.UNIQUE(_xlfn._xlws.FILTER(_xlpm.virtual_ids, _xlpm.virtual_ids&lt;&gt;""))), 0)
)</f>
        <v>51</v>
      </c>
      <c r="K18" s="22" cm="1">
        <f t="array" ref="K18">_xlfn.LET(
    _xlpm.links, MS[Module Link],
    _xlpm.files, MS[Module File Name],
    _xlpm.types, MS[Module Type],
    _xlpm.virtual_ids, _xlfn.MAP(_xlpm.links, _xlpm.files, _xlpm.types, _xlfn.LAMBDA(_xlpm.l,_xlpm.f,_xlpm.t,
        IF(OR(_xlpm.t="assessment", ISNUMBER(SEARCH("Partnerlearning", _xlpm.l))),
           ROW(_xlpm.l) &amp; "_special",
           IF(_xlpm.l&lt;&gt;"",
              ROW(_xlpm.l) &amp; "_link",
              IF(_xlpm.f&lt;&gt;"", _xlpm.f, "")
           )
        )
    )),
    IFERROR(ROWS(_xlfn.UNIQUE(_xlfn._xlws.FILTER(_xlpm.virtual_ids, _xlpm.virtual_ids&lt;&gt;""))), 0)
)</f>
        <v>49</v>
      </c>
      <c r="L18" s="22" t="str">
        <f>IF($J$12="Update",COUNTA($L$20:$L$103),"")</f>
        <v/>
      </c>
    </row>
    <row r="19" spans="1:23" s="21" customFormat="1" ht="42" customHeight="1" x14ac:dyDescent="0.2">
      <c r="A19" s="32" t="s">
        <v>139</v>
      </c>
      <c r="B19" s="32" t="s">
        <v>140</v>
      </c>
      <c r="C19" s="32" t="s">
        <v>679</v>
      </c>
      <c r="D19" s="32" t="s">
        <v>141</v>
      </c>
      <c r="E19" s="32" t="s">
        <v>142</v>
      </c>
      <c r="F19" s="32" t="s">
        <v>143</v>
      </c>
      <c r="G19" s="32" t="s">
        <v>104</v>
      </c>
      <c r="H19" s="32" t="s">
        <v>144</v>
      </c>
      <c r="I19" s="32" t="s">
        <v>145</v>
      </c>
      <c r="J19" s="32" t="s">
        <v>146</v>
      </c>
      <c r="K19" s="32" t="s">
        <v>147</v>
      </c>
      <c r="L19" s="31" t="str">
        <f>IF(J12="Update","Update","")</f>
        <v/>
      </c>
      <c r="M19" s="55" t="s">
        <v>0</v>
      </c>
      <c r="N19" s="55"/>
      <c r="O19" s="55"/>
      <c r="P19" s="55"/>
      <c r="Q19" s="55"/>
      <c r="R19" s="55"/>
      <c r="S19" s="55"/>
      <c r="T19" s="55"/>
      <c r="U19" s="55"/>
      <c r="V19" s="55"/>
      <c r="W19" s="56"/>
    </row>
    <row r="20" spans="1:23" s="21" customFormat="1" ht="42" customHeight="1" x14ac:dyDescent="0.2">
      <c r="A20" s="26">
        <v>1</v>
      </c>
      <c r="B20" s="26" t="s">
        <v>693</v>
      </c>
      <c r="C20" s="26" t="s">
        <v>705</v>
      </c>
      <c r="D20" s="26">
        <v>1</v>
      </c>
      <c r="E20" s="26" t="s">
        <v>78</v>
      </c>
      <c r="F20" s="26" t="s">
        <v>694</v>
      </c>
      <c r="G20" s="26">
        <v>34</v>
      </c>
      <c r="H20" s="26" t="s">
        <v>699</v>
      </c>
      <c r="I20" s="26" t="s">
        <v>705</v>
      </c>
      <c r="J20" s="26" t="s">
        <v>700</v>
      </c>
      <c r="K20" s="26"/>
      <c r="L20" s="24"/>
      <c r="M20" s="68"/>
      <c r="N20" s="69"/>
      <c r="O20" s="69"/>
      <c r="P20" s="69"/>
      <c r="Q20" s="69"/>
      <c r="R20" s="69"/>
      <c r="S20" s="69"/>
      <c r="T20" s="69"/>
      <c r="U20" s="69"/>
      <c r="V20" s="69"/>
      <c r="W20" s="70"/>
    </row>
    <row r="21" spans="1:23" s="21" customFormat="1" ht="42" customHeight="1" x14ac:dyDescent="0.2">
      <c r="A21" s="26">
        <v>1</v>
      </c>
      <c r="B21" s="26" t="s">
        <v>693</v>
      </c>
      <c r="C21" s="26" t="s">
        <v>705</v>
      </c>
      <c r="D21" s="26">
        <v>2</v>
      </c>
      <c r="E21" s="26" t="s">
        <v>78</v>
      </c>
      <c r="F21" s="26" t="s">
        <v>696</v>
      </c>
      <c r="G21" s="26">
        <v>36</v>
      </c>
      <c r="H21" s="26" t="s">
        <v>698</v>
      </c>
      <c r="I21" s="26" t="s">
        <v>705</v>
      </c>
      <c r="J21" s="26" t="s">
        <v>697</v>
      </c>
      <c r="K21" s="26"/>
      <c r="L21" s="24"/>
      <c r="M21" s="71"/>
      <c r="N21" s="61"/>
      <c r="O21" s="61"/>
      <c r="P21" s="61"/>
      <c r="Q21" s="61"/>
      <c r="R21" s="61"/>
      <c r="S21" s="61"/>
      <c r="T21" s="61"/>
      <c r="U21" s="61"/>
      <c r="V21" s="61"/>
      <c r="W21" s="72"/>
    </row>
    <row r="22" spans="1:23" s="21" customFormat="1" ht="42" customHeight="1" x14ac:dyDescent="0.2">
      <c r="A22" s="26">
        <v>2</v>
      </c>
      <c r="B22" s="26" t="s">
        <v>701</v>
      </c>
      <c r="C22" s="26" t="s">
        <v>705</v>
      </c>
      <c r="D22" s="26">
        <v>1</v>
      </c>
      <c r="E22" s="26" t="s">
        <v>78</v>
      </c>
      <c r="F22" s="26" t="s">
        <v>702</v>
      </c>
      <c r="G22" s="26">
        <v>38</v>
      </c>
      <c r="H22" s="26" t="s">
        <v>704</v>
      </c>
      <c r="I22" s="26" t="s">
        <v>705</v>
      </c>
      <c r="J22" s="26" t="s">
        <v>703</v>
      </c>
      <c r="K22" s="26"/>
      <c r="L22" s="24"/>
      <c r="M22" s="71"/>
      <c r="N22" s="61"/>
      <c r="O22" s="61"/>
      <c r="P22" s="61"/>
      <c r="Q22" s="61"/>
      <c r="R22" s="61"/>
      <c r="S22" s="61"/>
      <c r="T22" s="61"/>
      <c r="U22" s="61"/>
      <c r="V22" s="61"/>
      <c r="W22" s="72"/>
    </row>
    <row r="23" spans="1:23" s="21" customFormat="1" ht="42" customHeight="1" x14ac:dyDescent="0.2">
      <c r="A23" s="26">
        <v>3</v>
      </c>
      <c r="B23" s="26" t="s">
        <v>706</v>
      </c>
      <c r="C23" s="26" t="s">
        <v>705</v>
      </c>
      <c r="D23" s="26">
        <v>1</v>
      </c>
      <c r="E23" s="26" t="s">
        <v>78</v>
      </c>
      <c r="F23" s="26" t="s">
        <v>707</v>
      </c>
      <c r="G23" s="26">
        <v>25</v>
      </c>
      <c r="H23" s="26" t="s">
        <v>708</v>
      </c>
      <c r="I23" s="26" t="s">
        <v>705</v>
      </c>
      <c r="J23" s="26" t="s">
        <v>709</v>
      </c>
      <c r="K23" s="26"/>
      <c r="L23" s="24"/>
      <c r="M23" s="71"/>
      <c r="N23" s="61"/>
      <c r="O23" s="61"/>
      <c r="P23" s="61"/>
      <c r="Q23" s="61"/>
      <c r="R23" s="61"/>
      <c r="S23" s="61"/>
      <c r="T23" s="61"/>
      <c r="U23" s="61"/>
      <c r="V23" s="61"/>
      <c r="W23" s="72"/>
    </row>
    <row r="24" spans="1:23" s="21" customFormat="1" ht="42" customHeight="1" x14ac:dyDescent="0.2">
      <c r="A24" s="26">
        <v>3</v>
      </c>
      <c r="B24" s="26" t="s">
        <v>706</v>
      </c>
      <c r="C24" s="26" t="s">
        <v>705</v>
      </c>
      <c r="D24" s="26">
        <v>2</v>
      </c>
      <c r="E24" s="26" t="s">
        <v>78</v>
      </c>
      <c r="F24" s="26" t="s">
        <v>710</v>
      </c>
      <c r="G24" s="26">
        <v>27</v>
      </c>
      <c r="H24" s="26" t="s">
        <v>711</v>
      </c>
      <c r="I24" s="26" t="s">
        <v>705</v>
      </c>
      <c r="J24" s="26" t="s">
        <v>712</v>
      </c>
      <c r="K24" s="26"/>
      <c r="L24" s="24"/>
      <c r="M24" s="71"/>
      <c r="N24" s="61"/>
      <c r="O24" s="61"/>
      <c r="P24" s="61"/>
      <c r="Q24" s="61"/>
      <c r="R24" s="61"/>
      <c r="S24" s="61"/>
      <c r="T24" s="61"/>
      <c r="U24" s="61"/>
      <c r="V24" s="61"/>
      <c r="W24" s="72"/>
    </row>
    <row r="25" spans="1:23" s="21" customFormat="1" ht="42" customHeight="1" x14ac:dyDescent="0.2">
      <c r="A25" s="26">
        <v>3</v>
      </c>
      <c r="B25" s="26" t="s">
        <v>706</v>
      </c>
      <c r="C25" s="26" t="s">
        <v>705</v>
      </c>
      <c r="D25" s="26">
        <v>3</v>
      </c>
      <c r="E25" s="26" t="s">
        <v>78</v>
      </c>
      <c r="F25" s="26" t="s">
        <v>713</v>
      </c>
      <c r="G25" s="26">
        <v>13</v>
      </c>
      <c r="H25" s="26" t="s">
        <v>714</v>
      </c>
      <c r="I25" s="26" t="s">
        <v>705</v>
      </c>
      <c r="J25" s="26" t="s">
        <v>715</v>
      </c>
      <c r="K25" s="26"/>
      <c r="L25" s="24"/>
      <c r="M25" s="71"/>
      <c r="N25" s="61"/>
      <c r="O25" s="61"/>
      <c r="P25" s="61"/>
      <c r="Q25" s="61"/>
      <c r="R25" s="61"/>
      <c r="S25" s="61"/>
      <c r="T25" s="61"/>
      <c r="U25" s="61"/>
      <c r="V25" s="61"/>
      <c r="W25" s="72"/>
    </row>
    <row r="26" spans="1:23" s="21" customFormat="1" ht="42" customHeight="1" x14ac:dyDescent="0.2">
      <c r="A26" s="26">
        <v>3</v>
      </c>
      <c r="B26" s="26" t="s">
        <v>706</v>
      </c>
      <c r="C26" s="26" t="s">
        <v>705</v>
      </c>
      <c r="D26" s="26">
        <v>4</v>
      </c>
      <c r="E26" s="26" t="s">
        <v>78</v>
      </c>
      <c r="F26" s="26" t="s">
        <v>716</v>
      </c>
      <c r="G26" s="26">
        <v>4</v>
      </c>
      <c r="H26" s="26" t="s">
        <v>717</v>
      </c>
      <c r="I26" s="26" t="s">
        <v>705</v>
      </c>
      <c r="J26" s="26" t="s">
        <v>718</v>
      </c>
      <c r="K26" s="26"/>
      <c r="L26" s="24"/>
      <c r="M26" s="71"/>
      <c r="N26" s="61"/>
      <c r="O26" s="61"/>
      <c r="P26" s="61"/>
      <c r="Q26" s="61"/>
      <c r="R26" s="61"/>
      <c r="S26" s="61"/>
      <c r="T26" s="61"/>
      <c r="U26" s="61"/>
      <c r="V26" s="61"/>
      <c r="W26" s="72"/>
    </row>
    <row r="27" spans="1:23" s="21" customFormat="1" ht="42" customHeight="1" x14ac:dyDescent="0.2">
      <c r="A27" s="26">
        <v>3</v>
      </c>
      <c r="B27" s="26" t="s">
        <v>706</v>
      </c>
      <c r="C27" s="26" t="s">
        <v>705</v>
      </c>
      <c r="D27" s="26">
        <v>5</v>
      </c>
      <c r="E27" s="26" t="s">
        <v>78</v>
      </c>
      <c r="F27" s="26" t="s">
        <v>720</v>
      </c>
      <c r="G27" s="26">
        <v>5</v>
      </c>
      <c r="H27" s="26" t="s">
        <v>719</v>
      </c>
      <c r="I27" s="26" t="s">
        <v>705</v>
      </c>
      <c r="J27" s="26" t="s">
        <v>721</v>
      </c>
      <c r="K27" s="26"/>
      <c r="L27" s="24"/>
      <c r="M27" s="71"/>
      <c r="N27" s="61"/>
      <c r="O27" s="61"/>
      <c r="P27" s="61"/>
      <c r="Q27" s="61"/>
      <c r="R27" s="61"/>
      <c r="S27" s="61"/>
      <c r="T27" s="61"/>
      <c r="U27" s="61"/>
      <c r="V27" s="61"/>
      <c r="W27" s="72"/>
    </row>
    <row r="28" spans="1:23" s="21" customFormat="1" ht="42" customHeight="1" x14ac:dyDescent="0.2">
      <c r="A28" s="26">
        <v>3</v>
      </c>
      <c r="B28" s="26" t="s">
        <v>706</v>
      </c>
      <c r="C28" s="26" t="s">
        <v>705</v>
      </c>
      <c r="D28" s="26">
        <v>6</v>
      </c>
      <c r="E28" s="26" t="s">
        <v>78</v>
      </c>
      <c r="F28" s="26" t="s">
        <v>723</v>
      </c>
      <c r="G28" s="26">
        <v>5</v>
      </c>
      <c r="H28" s="26" t="s">
        <v>722</v>
      </c>
      <c r="I28" s="26" t="s">
        <v>705</v>
      </c>
      <c r="J28" s="26" t="s">
        <v>724</v>
      </c>
      <c r="K28" s="26"/>
      <c r="L28" s="24"/>
      <c r="M28" s="71"/>
      <c r="N28" s="61"/>
      <c r="O28" s="61"/>
      <c r="P28" s="61"/>
      <c r="Q28" s="61"/>
      <c r="R28" s="61"/>
      <c r="S28" s="61"/>
      <c r="T28" s="61"/>
      <c r="U28" s="61"/>
      <c r="V28" s="61"/>
      <c r="W28" s="72"/>
    </row>
    <row r="29" spans="1:23" s="21" customFormat="1" ht="42" customHeight="1" x14ac:dyDescent="0.2">
      <c r="A29" s="26">
        <v>3</v>
      </c>
      <c r="B29" s="26" t="s">
        <v>706</v>
      </c>
      <c r="C29" s="26" t="s">
        <v>705</v>
      </c>
      <c r="D29" s="26">
        <v>7</v>
      </c>
      <c r="E29" s="26" t="s">
        <v>78</v>
      </c>
      <c r="F29" s="26" t="s">
        <v>726</v>
      </c>
      <c r="G29" s="26">
        <v>5</v>
      </c>
      <c r="H29" s="26" t="s">
        <v>725</v>
      </c>
      <c r="I29" s="26" t="s">
        <v>705</v>
      </c>
      <c r="J29" s="26" t="s">
        <v>727</v>
      </c>
      <c r="K29" s="26"/>
      <c r="L29" s="24"/>
      <c r="M29" s="71"/>
      <c r="N29" s="61"/>
      <c r="O29" s="61"/>
      <c r="P29" s="61"/>
      <c r="Q29" s="61"/>
      <c r="R29" s="61"/>
      <c r="S29" s="61"/>
      <c r="T29" s="61"/>
      <c r="U29" s="61"/>
      <c r="V29" s="61"/>
      <c r="W29" s="72"/>
    </row>
    <row r="30" spans="1:23" s="21" customFormat="1" ht="42" customHeight="1" x14ac:dyDescent="0.2">
      <c r="A30" s="26">
        <v>3</v>
      </c>
      <c r="B30" s="26" t="s">
        <v>706</v>
      </c>
      <c r="C30" s="26" t="s">
        <v>705</v>
      </c>
      <c r="D30" s="26">
        <v>8</v>
      </c>
      <c r="E30" s="26" t="s">
        <v>78</v>
      </c>
      <c r="F30" s="26" t="s">
        <v>728</v>
      </c>
      <c r="G30" s="26">
        <v>4</v>
      </c>
      <c r="H30" s="26" t="s">
        <v>729</v>
      </c>
      <c r="I30" s="26" t="s">
        <v>705</v>
      </c>
      <c r="J30" s="26" t="s">
        <v>730</v>
      </c>
      <c r="K30" s="26"/>
      <c r="L30" s="24"/>
      <c r="M30" s="71"/>
      <c r="N30" s="61"/>
      <c r="O30" s="61"/>
      <c r="P30" s="61"/>
      <c r="Q30" s="61"/>
      <c r="R30" s="61"/>
      <c r="S30" s="61"/>
      <c r="T30" s="61"/>
      <c r="U30" s="61"/>
      <c r="V30" s="61"/>
      <c r="W30" s="72"/>
    </row>
    <row r="31" spans="1:23" s="21" customFormat="1" ht="42" customHeight="1" x14ac:dyDescent="0.2">
      <c r="A31" s="26">
        <v>3</v>
      </c>
      <c r="B31" s="26" t="s">
        <v>706</v>
      </c>
      <c r="C31" s="26" t="s">
        <v>705</v>
      </c>
      <c r="D31" s="26">
        <v>9</v>
      </c>
      <c r="E31" s="26" t="s">
        <v>78</v>
      </c>
      <c r="F31" s="26" t="s">
        <v>732</v>
      </c>
      <c r="G31" s="26">
        <v>3</v>
      </c>
      <c r="H31" s="26" t="s">
        <v>733</v>
      </c>
      <c r="I31" s="26" t="s">
        <v>705</v>
      </c>
      <c r="J31" s="26" t="s">
        <v>731</v>
      </c>
      <c r="K31" s="37"/>
      <c r="L31" s="24"/>
      <c r="M31" s="71"/>
      <c r="N31" s="61"/>
      <c r="O31" s="61"/>
      <c r="P31" s="61"/>
      <c r="Q31" s="61"/>
      <c r="R31" s="61"/>
      <c r="S31" s="61"/>
      <c r="T31" s="61"/>
      <c r="U31" s="61"/>
      <c r="V31" s="61"/>
      <c r="W31" s="72"/>
    </row>
    <row r="32" spans="1:23" s="21" customFormat="1" ht="42" customHeight="1" x14ac:dyDescent="0.2">
      <c r="A32" s="26">
        <v>3</v>
      </c>
      <c r="B32" s="26" t="s">
        <v>706</v>
      </c>
      <c r="C32" s="26" t="s">
        <v>705</v>
      </c>
      <c r="D32" s="26">
        <v>10</v>
      </c>
      <c r="E32" s="26" t="s">
        <v>78</v>
      </c>
      <c r="F32" s="26" t="s">
        <v>736</v>
      </c>
      <c r="G32" s="26">
        <v>3</v>
      </c>
      <c r="H32" s="26" t="s">
        <v>734</v>
      </c>
      <c r="I32" s="26" t="s">
        <v>705</v>
      </c>
      <c r="J32" s="26" t="s">
        <v>735</v>
      </c>
      <c r="K32" s="26"/>
      <c r="L32" s="24"/>
      <c r="M32" s="71"/>
      <c r="N32" s="61"/>
      <c r="O32" s="61"/>
      <c r="P32" s="61"/>
      <c r="Q32" s="61"/>
      <c r="R32" s="61"/>
      <c r="S32" s="61"/>
      <c r="T32" s="61"/>
      <c r="U32" s="61"/>
      <c r="V32" s="61"/>
      <c r="W32" s="72"/>
    </row>
    <row r="33" spans="1:23" s="21" customFormat="1" ht="42" customHeight="1" x14ac:dyDescent="0.2">
      <c r="A33" s="26">
        <v>3</v>
      </c>
      <c r="B33" s="26" t="s">
        <v>706</v>
      </c>
      <c r="C33" s="26" t="s">
        <v>705</v>
      </c>
      <c r="D33" s="26">
        <v>11</v>
      </c>
      <c r="E33" s="26" t="s">
        <v>78</v>
      </c>
      <c r="F33" s="26" t="s">
        <v>737</v>
      </c>
      <c r="G33" s="26">
        <v>3</v>
      </c>
      <c r="H33" s="26" t="s">
        <v>738</v>
      </c>
      <c r="I33" s="26" t="s">
        <v>705</v>
      </c>
      <c r="J33" s="26" t="s">
        <v>739</v>
      </c>
      <c r="K33" s="26"/>
      <c r="L33" s="24"/>
      <c r="M33" s="71"/>
      <c r="N33" s="61"/>
      <c r="O33" s="61"/>
      <c r="P33" s="61"/>
      <c r="Q33" s="61"/>
      <c r="R33" s="61"/>
      <c r="S33" s="61"/>
      <c r="T33" s="61"/>
      <c r="U33" s="61"/>
      <c r="V33" s="61"/>
      <c r="W33" s="72"/>
    </row>
    <row r="34" spans="1:23" s="21" customFormat="1" ht="42" customHeight="1" x14ac:dyDescent="0.2">
      <c r="A34" s="26">
        <v>3</v>
      </c>
      <c r="B34" s="26" t="s">
        <v>706</v>
      </c>
      <c r="C34" s="26" t="s">
        <v>705</v>
      </c>
      <c r="D34" s="26">
        <v>12</v>
      </c>
      <c r="E34" s="26" t="s">
        <v>58</v>
      </c>
      <c r="F34" s="26" t="s">
        <v>741</v>
      </c>
      <c r="G34" s="26">
        <v>10</v>
      </c>
      <c r="H34" s="26" t="s">
        <v>740</v>
      </c>
      <c r="I34" s="26" t="s">
        <v>705</v>
      </c>
      <c r="J34" s="26" t="s">
        <v>742</v>
      </c>
      <c r="K34" s="26"/>
      <c r="L34" s="24"/>
      <c r="M34" s="71"/>
      <c r="N34" s="61"/>
      <c r="O34" s="61"/>
      <c r="P34" s="61"/>
      <c r="Q34" s="61"/>
      <c r="R34" s="61"/>
      <c r="S34" s="61"/>
      <c r="T34" s="61"/>
      <c r="U34" s="61"/>
      <c r="V34" s="61"/>
      <c r="W34" s="72"/>
    </row>
    <row r="35" spans="1:23" s="21" customFormat="1" ht="42" customHeight="1" x14ac:dyDescent="0.2">
      <c r="A35" s="26">
        <v>3</v>
      </c>
      <c r="B35" s="26" t="s">
        <v>706</v>
      </c>
      <c r="C35" s="26" t="s">
        <v>705</v>
      </c>
      <c r="D35" s="26">
        <v>13</v>
      </c>
      <c r="E35" s="26" t="s">
        <v>58</v>
      </c>
      <c r="F35" s="26" t="s">
        <v>743</v>
      </c>
      <c r="G35" s="26">
        <v>10</v>
      </c>
      <c r="H35" s="26" t="s">
        <v>744</v>
      </c>
      <c r="I35" s="26" t="s">
        <v>705</v>
      </c>
      <c r="J35" s="26" t="s">
        <v>745</v>
      </c>
      <c r="K35" s="26"/>
      <c r="L35" s="24"/>
      <c r="M35" s="71"/>
      <c r="N35" s="61"/>
      <c r="O35" s="61"/>
      <c r="P35" s="61"/>
      <c r="Q35" s="61"/>
      <c r="R35" s="61"/>
      <c r="S35" s="61"/>
      <c r="T35" s="61"/>
      <c r="U35" s="61"/>
      <c r="V35" s="61"/>
      <c r="W35" s="72"/>
    </row>
    <row r="36" spans="1:23" s="21" customFormat="1" ht="42" customHeight="1" x14ac:dyDescent="0.2">
      <c r="A36" s="26">
        <v>3</v>
      </c>
      <c r="B36" s="26" t="s">
        <v>706</v>
      </c>
      <c r="C36" s="26" t="s">
        <v>705</v>
      </c>
      <c r="D36" s="26">
        <v>14</v>
      </c>
      <c r="E36" s="26" t="s">
        <v>78</v>
      </c>
      <c r="F36" s="26" t="s">
        <v>746</v>
      </c>
      <c r="G36" s="26">
        <v>6</v>
      </c>
      <c r="H36" s="26" t="s">
        <v>748</v>
      </c>
      <c r="I36" s="26" t="s">
        <v>705</v>
      </c>
      <c r="J36" s="26" t="s">
        <v>747</v>
      </c>
      <c r="K36" s="26"/>
      <c r="L36" s="24"/>
      <c r="M36" s="71"/>
      <c r="N36" s="61"/>
      <c r="O36" s="61"/>
      <c r="P36" s="61"/>
      <c r="Q36" s="61"/>
      <c r="R36" s="61"/>
      <c r="S36" s="61"/>
      <c r="T36" s="61"/>
      <c r="U36" s="61"/>
      <c r="V36" s="61"/>
      <c r="W36" s="72"/>
    </row>
    <row r="37" spans="1:23" s="21" customFormat="1" ht="42" customHeight="1" x14ac:dyDescent="0.2">
      <c r="A37" s="26">
        <v>3</v>
      </c>
      <c r="B37" s="26" t="s">
        <v>706</v>
      </c>
      <c r="C37" s="26" t="s">
        <v>705</v>
      </c>
      <c r="D37" s="26">
        <v>15</v>
      </c>
      <c r="E37" s="26" t="s">
        <v>78</v>
      </c>
      <c r="F37" s="26" t="s">
        <v>749</v>
      </c>
      <c r="G37" s="26">
        <v>11</v>
      </c>
      <c r="H37" s="26" t="s">
        <v>753</v>
      </c>
      <c r="I37" s="26" t="s">
        <v>705</v>
      </c>
      <c r="J37" s="26" t="s">
        <v>751</v>
      </c>
      <c r="K37" s="26"/>
      <c r="L37" s="24"/>
      <c r="M37" s="71"/>
      <c r="N37" s="61"/>
      <c r="O37" s="61"/>
      <c r="P37" s="61"/>
      <c r="Q37" s="61"/>
      <c r="R37" s="61"/>
      <c r="S37" s="61"/>
      <c r="T37" s="61"/>
      <c r="U37" s="61"/>
      <c r="V37" s="61"/>
      <c r="W37" s="72"/>
    </row>
    <row r="38" spans="1:23" s="21" customFormat="1" ht="42" customHeight="1" x14ac:dyDescent="0.2">
      <c r="A38" s="26">
        <v>3</v>
      </c>
      <c r="B38" s="26" t="s">
        <v>706</v>
      </c>
      <c r="C38" s="26" t="s">
        <v>705</v>
      </c>
      <c r="D38" s="26">
        <v>16</v>
      </c>
      <c r="E38" s="26" t="s">
        <v>78</v>
      </c>
      <c r="F38" s="26" t="s">
        <v>750</v>
      </c>
      <c r="G38" s="26">
        <v>10</v>
      </c>
      <c r="H38" s="26" t="s">
        <v>754</v>
      </c>
      <c r="I38" s="26" t="s">
        <v>705</v>
      </c>
      <c r="J38" s="26" t="s">
        <v>752</v>
      </c>
      <c r="K38" s="26"/>
      <c r="L38" s="24"/>
      <c r="M38" s="71"/>
      <c r="N38" s="61"/>
      <c r="O38" s="61"/>
      <c r="P38" s="61"/>
      <c r="Q38" s="61"/>
      <c r="R38" s="61"/>
      <c r="S38" s="61"/>
      <c r="T38" s="61"/>
      <c r="U38" s="61"/>
      <c r="V38" s="61"/>
      <c r="W38" s="72"/>
    </row>
    <row r="39" spans="1:23" s="21" customFormat="1" ht="42" customHeight="1" x14ac:dyDescent="0.2">
      <c r="A39" s="26">
        <v>3</v>
      </c>
      <c r="B39" s="26" t="s">
        <v>706</v>
      </c>
      <c r="C39" s="26" t="s">
        <v>705</v>
      </c>
      <c r="D39" s="26">
        <v>17</v>
      </c>
      <c r="E39" s="26" t="s">
        <v>78</v>
      </c>
      <c r="F39" s="26" t="s">
        <v>755</v>
      </c>
      <c r="G39" s="26">
        <v>1</v>
      </c>
      <c r="H39" s="26" t="s">
        <v>757</v>
      </c>
      <c r="I39" s="26" t="s">
        <v>705</v>
      </c>
      <c r="J39" s="26" t="s">
        <v>756</v>
      </c>
      <c r="K39" s="26"/>
      <c r="L39" s="24"/>
      <c r="M39" s="71"/>
      <c r="N39" s="61"/>
      <c r="O39" s="61"/>
      <c r="P39" s="61"/>
      <c r="Q39" s="61"/>
      <c r="R39" s="61"/>
      <c r="S39" s="61"/>
      <c r="T39" s="61"/>
      <c r="U39" s="61"/>
      <c r="V39" s="61"/>
      <c r="W39" s="72"/>
    </row>
    <row r="40" spans="1:23" s="21" customFormat="1" ht="42" customHeight="1" x14ac:dyDescent="0.2">
      <c r="A40" s="26">
        <v>4</v>
      </c>
      <c r="B40" s="26" t="s">
        <v>758</v>
      </c>
      <c r="C40" s="26" t="s">
        <v>695</v>
      </c>
      <c r="D40" s="26">
        <v>1</v>
      </c>
      <c r="E40" s="26" t="s">
        <v>58</v>
      </c>
      <c r="F40" s="26" t="s">
        <v>760</v>
      </c>
      <c r="G40" s="26">
        <v>10</v>
      </c>
      <c r="H40" s="26" t="s">
        <v>759</v>
      </c>
      <c r="I40" s="26" t="s">
        <v>695</v>
      </c>
      <c r="J40" s="26" t="s">
        <v>761</v>
      </c>
      <c r="K40" s="26"/>
      <c r="L40" s="24"/>
      <c r="M40" s="71"/>
      <c r="N40" s="61"/>
      <c r="O40" s="61"/>
      <c r="P40" s="61"/>
      <c r="Q40" s="61"/>
      <c r="R40" s="61"/>
      <c r="S40" s="61"/>
      <c r="T40" s="61"/>
      <c r="U40" s="61"/>
      <c r="V40" s="61"/>
      <c r="W40" s="72"/>
    </row>
    <row r="41" spans="1:23" s="21" customFormat="1" ht="42" customHeight="1" x14ac:dyDescent="0.2">
      <c r="A41" s="26">
        <v>4</v>
      </c>
      <c r="B41" s="26" t="s">
        <v>758</v>
      </c>
      <c r="C41" s="26" t="s">
        <v>695</v>
      </c>
      <c r="D41" s="26">
        <v>2</v>
      </c>
      <c r="E41" s="26" t="s">
        <v>58</v>
      </c>
      <c r="F41" s="26" t="s">
        <v>762</v>
      </c>
      <c r="G41" s="26">
        <v>10</v>
      </c>
      <c r="H41" s="26" t="s">
        <v>711</v>
      </c>
      <c r="I41" s="26" t="s">
        <v>695</v>
      </c>
      <c r="J41" s="26" t="s">
        <v>763</v>
      </c>
      <c r="K41" s="26"/>
      <c r="L41" s="24"/>
      <c r="M41" s="71"/>
      <c r="N41" s="61"/>
      <c r="O41" s="61"/>
      <c r="P41" s="61"/>
      <c r="Q41" s="61"/>
      <c r="R41" s="61"/>
      <c r="S41" s="61"/>
      <c r="T41" s="61"/>
      <c r="U41" s="61"/>
      <c r="V41" s="61"/>
      <c r="W41" s="72"/>
    </row>
    <row r="42" spans="1:23" s="21" customFormat="1" ht="42" customHeight="1" x14ac:dyDescent="0.2">
      <c r="A42" s="26">
        <v>4</v>
      </c>
      <c r="B42" s="26" t="s">
        <v>758</v>
      </c>
      <c r="C42" s="26" t="s">
        <v>695</v>
      </c>
      <c r="D42" s="26">
        <v>3</v>
      </c>
      <c r="E42" s="26" t="s">
        <v>58</v>
      </c>
      <c r="F42" s="26" t="s">
        <v>764</v>
      </c>
      <c r="G42" s="26">
        <v>5</v>
      </c>
      <c r="H42" s="26" t="s">
        <v>765</v>
      </c>
      <c r="I42" s="26" t="s">
        <v>695</v>
      </c>
      <c r="J42" s="26" t="s">
        <v>766</v>
      </c>
      <c r="K42" s="26"/>
      <c r="L42" s="24"/>
      <c r="M42" s="71"/>
      <c r="N42" s="61"/>
      <c r="O42" s="61"/>
      <c r="P42" s="61"/>
      <c r="Q42" s="61"/>
      <c r="R42" s="61"/>
      <c r="S42" s="61"/>
      <c r="T42" s="61"/>
      <c r="U42" s="61"/>
      <c r="V42" s="61"/>
      <c r="W42" s="72"/>
    </row>
    <row r="43" spans="1:23" s="21" customFormat="1" ht="42" customHeight="1" x14ac:dyDescent="0.2">
      <c r="A43" s="26">
        <v>4</v>
      </c>
      <c r="B43" s="26" t="s">
        <v>758</v>
      </c>
      <c r="C43" s="26" t="s">
        <v>695</v>
      </c>
      <c r="D43" s="26">
        <v>4</v>
      </c>
      <c r="E43" s="26" t="s">
        <v>58</v>
      </c>
      <c r="F43" s="26" t="s">
        <v>767</v>
      </c>
      <c r="G43" s="26">
        <v>10</v>
      </c>
      <c r="H43" s="26" t="s">
        <v>717</v>
      </c>
      <c r="I43" s="26" t="s">
        <v>695</v>
      </c>
      <c r="J43" s="26" t="s">
        <v>768</v>
      </c>
      <c r="K43" s="26"/>
      <c r="L43" s="24"/>
      <c r="M43" s="71"/>
      <c r="N43" s="61"/>
      <c r="O43" s="61"/>
      <c r="P43" s="61"/>
      <c r="Q43" s="61"/>
      <c r="R43" s="61"/>
      <c r="S43" s="61"/>
      <c r="T43" s="61"/>
      <c r="U43" s="61"/>
      <c r="V43" s="61"/>
      <c r="W43" s="72"/>
    </row>
    <row r="44" spans="1:23" s="21" customFormat="1" ht="42" customHeight="1" x14ac:dyDescent="0.2">
      <c r="A44" s="26">
        <v>4</v>
      </c>
      <c r="B44" s="26" t="s">
        <v>758</v>
      </c>
      <c r="C44" s="26" t="s">
        <v>695</v>
      </c>
      <c r="D44" s="26">
        <v>5</v>
      </c>
      <c r="E44" s="26" t="s">
        <v>58</v>
      </c>
      <c r="F44" s="26" t="s">
        <v>769</v>
      </c>
      <c r="G44" s="26">
        <v>10</v>
      </c>
      <c r="H44" s="26" t="s">
        <v>770</v>
      </c>
      <c r="I44" s="26" t="s">
        <v>695</v>
      </c>
      <c r="J44" s="26" t="s">
        <v>771</v>
      </c>
      <c r="K44" s="26"/>
      <c r="L44" s="24"/>
      <c r="M44" s="71"/>
      <c r="N44" s="61"/>
      <c r="O44" s="61"/>
      <c r="P44" s="61"/>
      <c r="Q44" s="61"/>
      <c r="R44" s="61"/>
      <c r="S44" s="61"/>
      <c r="T44" s="61"/>
      <c r="U44" s="61"/>
      <c r="V44" s="61"/>
      <c r="W44" s="72"/>
    </row>
    <row r="45" spans="1:23" s="21" customFormat="1" ht="42" customHeight="1" x14ac:dyDescent="0.2">
      <c r="A45" s="26">
        <v>4</v>
      </c>
      <c r="B45" s="26" t="s">
        <v>758</v>
      </c>
      <c r="C45" s="26" t="s">
        <v>695</v>
      </c>
      <c r="D45" s="26">
        <v>6</v>
      </c>
      <c r="E45" s="26" t="s">
        <v>58</v>
      </c>
      <c r="F45" s="26" t="s">
        <v>772</v>
      </c>
      <c r="G45" s="26">
        <v>10</v>
      </c>
      <c r="H45" s="26" t="s">
        <v>773</v>
      </c>
      <c r="I45" s="26" t="s">
        <v>695</v>
      </c>
      <c r="J45" s="26" t="s">
        <v>774</v>
      </c>
      <c r="K45" s="26"/>
      <c r="L45" s="24"/>
      <c r="M45" s="71"/>
      <c r="N45" s="61"/>
      <c r="O45" s="61"/>
      <c r="P45" s="61"/>
      <c r="Q45" s="61"/>
      <c r="R45" s="61"/>
      <c r="S45" s="61"/>
      <c r="T45" s="61"/>
      <c r="U45" s="61"/>
      <c r="V45" s="61"/>
      <c r="W45" s="72"/>
    </row>
    <row r="46" spans="1:23" s="21" customFormat="1" ht="42" customHeight="1" x14ac:dyDescent="0.2">
      <c r="A46" s="26">
        <v>4</v>
      </c>
      <c r="B46" s="26" t="s">
        <v>758</v>
      </c>
      <c r="C46" s="26" t="s">
        <v>695</v>
      </c>
      <c r="D46" s="26">
        <v>7</v>
      </c>
      <c r="E46" s="26" t="s">
        <v>58</v>
      </c>
      <c r="F46" s="26" t="s">
        <v>775</v>
      </c>
      <c r="G46" s="26">
        <v>10</v>
      </c>
      <c r="H46" s="26" t="s">
        <v>777</v>
      </c>
      <c r="I46" s="26" t="s">
        <v>695</v>
      </c>
      <c r="J46" s="26" t="s">
        <v>776</v>
      </c>
      <c r="K46" s="26"/>
      <c r="L46" s="24"/>
      <c r="M46" s="71"/>
      <c r="N46" s="61"/>
      <c r="O46" s="61"/>
      <c r="P46" s="61"/>
      <c r="Q46" s="61"/>
      <c r="R46" s="61"/>
      <c r="S46" s="61"/>
      <c r="T46" s="61"/>
      <c r="U46" s="61"/>
      <c r="V46" s="61"/>
      <c r="W46" s="72"/>
    </row>
    <row r="47" spans="1:23" s="21" customFormat="1" ht="42" customHeight="1" x14ac:dyDescent="0.2">
      <c r="A47" s="26">
        <v>4</v>
      </c>
      <c r="B47" s="26" t="s">
        <v>758</v>
      </c>
      <c r="C47" s="26" t="s">
        <v>695</v>
      </c>
      <c r="D47" s="26">
        <v>8</v>
      </c>
      <c r="E47" s="26" t="s">
        <v>58</v>
      </c>
      <c r="F47" s="26" t="s">
        <v>780</v>
      </c>
      <c r="G47" s="26">
        <v>10</v>
      </c>
      <c r="H47" s="26" t="s">
        <v>778</v>
      </c>
      <c r="I47" s="26" t="s">
        <v>695</v>
      </c>
      <c r="J47" s="26" t="s">
        <v>779</v>
      </c>
      <c r="K47" s="26"/>
      <c r="L47" s="24"/>
      <c r="M47" s="71"/>
      <c r="N47" s="61"/>
      <c r="O47" s="61"/>
      <c r="P47" s="61"/>
      <c r="Q47" s="61"/>
      <c r="R47" s="61"/>
      <c r="S47" s="61"/>
      <c r="T47" s="61"/>
      <c r="U47" s="61"/>
      <c r="V47" s="61"/>
      <c r="W47" s="72"/>
    </row>
    <row r="48" spans="1:23" s="21" customFormat="1" ht="42" customHeight="1" x14ac:dyDescent="0.2">
      <c r="A48" s="26">
        <v>4</v>
      </c>
      <c r="B48" s="26" t="s">
        <v>758</v>
      </c>
      <c r="C48" s="26" t="s">
        <v>695</v>
      </c>
      <c r="D48" s="26">
        <v>9</v>
      </c>
      <c r="E48" s="26" t="s">
        <v>58</v>
      </c>
      <c r="F48" s="26" t="s">
        <v>781</v>
      </c>
      <c r="G48" s="26">
        <v>10</v>
      </c>
      <c r="H48" s="26" t="s">
        <v>782</v>
      </c>
      <c r="I48" s="26" t="s">
        <v>695</v>
      </c>
      <c r="J48" s="26" t="s">
        <v>783</v>
      </c>
      <c r="K48" s="26"/>
      <c r="L48" s="24"/>
      <c r="M48" s="71"/>
      <c r="N48" s="61"/>
      <c r="O48" s="61"/>
      <c r="P48" s="61"/>
      <c r="Q48" s="61"/>
      <c r="R48" s="61"/>
      <c r="S48" s="61"/>
      <c r="T48" s="61"/>
      <c r="U48" s="61"/>
      <c r="V48" s="61"/>
      <c r="W48" s="72"/>
    </row>
    <row r="49" spans="1:23" s="21" customFormat="1" ht="42" customHeight="1" x14ac:dyDescent="0.2">
      <c r="A49" s="26">
        <v>4</v>
      </c>
      <c r="B49" s="26" t="s">
        <v>758</v>
      </c>
      <c r="C49" s="26" t="s">
        <v>695</v>
      </c>
      <c r="D49" s="26">
        <v>10</v>
      </c>
      <c r="E49" s="26" t="s">
        <v>58</v>
      </c>
      <c r="F49" s="26" t="s">
        <v>784</v>
      </c>
      <c r="G49" s="26">
        <v>10</v>
      </c>
      <c r="H49" s="26" t="s">
        <v>785</v>
      </c>
      <c r="I49" s="26" t="s">
        <v>695</v>
      </c>
      <c r="J49" s="26" t="s">
        <v>786</v>
      </c>
      <c r="K49" s="26"/>
      <c r="L49" s="24"/>
      <c r="M49" s="71"/>
      <c r="N49" s="61"/>
      <c r="O49" s="61"/>
      <c r="P49" s="61"/>
      <c r="Q49" s="61"/>
      <c r="R49" s="61"/>
      <c r="S49" s="61"/>
      <c r="T49" s="61"/>
      <c r="U49" s="61"/>
      <c r="V49" s="61"/>
      <c r="W49" s="72"/>
    </row>
    <row r="50" spans="1:23" s="21" customFormat="1" ht="42" customHeight="1" x14ac:dyDescent="0.2">
      <c r="A50" s="26">
        <v>4</v>
      </c>
      <c r="B50" s="26" t="s">
        <v>758</v>
      </c>
      <c r="C50" s="26" t="s">
        <v>695</v>
      </c>
      <c r="D50" s="26">
        <v>11</v>
      </c>
      <c r="E50" s="26" t="s">
        <v>58</v>
      </c>
      <c r="F50" s="26" t="s">
        <v>787</v>
      </c>
      <c r="G50" s="26">
        <v>10</v>
      </c>
      <c r="H50" s="26" t="s">
        <v>738</v>
      </c>
      <c r="I50" s="26" t="s">
        <v>695</v>
      </c>
      <c r="J50" s="26" t="s">
        <v>788</v>
      </c>
      <c r="K50" s="26"/>
      <c r="L50" s="24"/>
      <c r="M50" s="71"/>
      <c r="N50" s="61"/>
      <c r="O50" s="61"/>
      <c r="P50" s="61"/>
      <c r="Q50" s="61"/>
      <c r="R50" s="61"/>
      <c r="S50" s="61"/>
      <c r="T50" s="61"/>
      <c r="U50" s="61"/>
      <c r="V50" s="61"/>
      <c r="W50" s="72"/>
    </row>
    <row r="51" spans="1:23" s="21" customFormat="1" ht="42" customHeight="1" x14ac:dyDescent="0.2">
      <c r="A51" s="26">
        <v>4</v>
      </c>
      <c r="B51" s="26" t="s">
        <v>758</v>
      </c>
      <c r="C51" s="26" t="s">
        <v>695</v>
      </c>
      <c r="D51" s="26">
        <v>12</v>
      </c>
      <c r="E51" s="26" t="s">
        <v>58</v>
      </c>
      <c r="F51" s="26" t="s">
        <v>789</v>
      </c>
      <c r="G51" s="26">
        <v>8</v>
      </c>
      <c r="H51" s="26" t="s">
        <v>748</v>
      </c>
      <c r="I51" s="26" t="s">
        <v>695</v>
      </c>
      <c r="J51" s="26" t="s">
        <v>790</v>
      </c>
      <c r="K51" s="26"/>
      <c r="L51" s="24"/>
      <c r="M51" s="71"/>
      <c r="N51" s="61"/>
      <c r="O51" s="61"/>
      <c r="P51" s="61"/>
      <c r="Q51" s="61"/>
      <c r="R51" s="61"/>
      <c r="S51" s="61"/>
      <c r="T51" s="61"/>
      <c r="U51" s="61"/>
      <c r="V51" s="61"/>
      <c r="W51" s="72"/>
    </row>
    <row r="52" spans="1:23" s="21" customFormat="1" ht="42" customHeight="1" x14ac:dyDescent="0.2">
      <c r="A52" s="26">
        <v>4</v>
      </c>
      <c r="B52" s="26" t="s">
        <v>758</v>
      </c>
      <c r="C52" s="26" t="s">
        <v>695</v>
      </c>
      <c r="D52" s="26">
        <v>13</v>
      </c>
      <c r="E52" s="26" t="s">
        <v>58</v>
      </c>
      <c r="F52" s="26" t="s">
        <v>791</v>
      </c>
      <c r="G52" s="26">
        <v>6</v>
      </c>
      <c r="H52" s="26" t="s">
        <v>753</v>
      </c>
      <c r="I52" s="26" t="s">
        <v>695</v>
      </c>
      <c r="J52" s="26" t="s">
        <v>792</v>
      </c>
      <c r="K52" s="26"/>
      <c r="L52" s="24"/>
      <c r="M52" s="71"/>
      <c r="N52" s="61"/>
      <c r="O52" s="61"/>
      <c r="P52" s="61"/>
      <c r="Q52" s="61"/>
      <c r="R52" s="61"/>
      <c r="S52" s="61"/>
      <c r="T52" s="61"/>
      <c r="U52" s="61"/>
      <c r="V52" s="61"/>
      <c r="W52" s="72"/>
    </row>
    <row r="53" spans="1:23" s="21" customFormat="1" ht="42" customHeight="1" x14ac:dyDescent="0.2">
      <c r="A53" s="26">
        <v>4</v>
      </c>
      <c r="B53" s="26" t="s">
        <v>758</v>
      </c>
      <c r="C53" s="26" t="s">
        <v>695</v>
      </c>
      <c r="D53" s="26">
        <v>14</v>
      </c>
      <c r="E53" s="26" t="s">
        <v>58</v>
      </c>
      <c r="F53" s="26" t="s">
        <v>794</v>
      </c>
      <c r="G53" s="26">
        <v>2</v>
      </c>
      <c r="H53" s="26" t="s">
        <v>754</v>
      </c>
      <c r="I53" s="26" t="s">
        <v>695</v>
      </c>
      <c r="J53" s="26" t="s">
        <v>793</v>
      </c>
      <c r="K53" s="26"/>
      <c r="L53" s="24"/>
      <c r="M53" s="71"/>
      <c r="N53" s="61"/>
      <c r="O53" s="61"/>
      <c r="P53" s="61"/>
      <c r="Q53" s="61"/>
      <c r="R53" s="61"/>
      <c r="S53" s="61"/>
      <c r="T53" s="61"/>
      <c r="U53" s="61"/>
      <c r="V53" s="61"/>
      <c r="W53" s="72"/>
    </row>
    <row r="54" spans="1:23" s="21" customFormat="1" ht="42" customHeight="1" x14ac:dyDescent="0.2">
      <c r="A54" s="26">
        <v>4</v>
      </c>
      <c r="B54" s="26" t="s">
        <v>758</v>
      </c>
      <c r="C54" s="26" t="s">
        <v>695</v>
      </c>
      <c r="D54" s="26">
        <v>15</v>
      </c>
      <c r="E54" s="26" t="s">
        <v>58</v>
      </c>
      <c r="F54" s="26" t="s">
        <v>796</v>
      </c>
      <c r="G54" s="26">
        <v>8</v>
      </c>
      <c r="H54" s="26" t="s">
        <v>795</v>
      </c>
      <c r="I54" s="26" t="s">
        <v>695</v>
      </c>
      <c r="J54" s="26" t="s">
        <v>797</v>
      </c>
      <c r="K54" s="26"/>
      <c r="L54" s="24"/>
      <c r="M54" s="71"/>
      <c r="N54" s="61"/>
      <c r="O54" s="61"/>
      <c r="P54" s="61"/>
      <c r="Q54" s="61"/>
      <c r="R54" s="61"/>
      <c r="S54" s="61"/>
      <c r="T54" s="61"/>
      <c r="U54" s="61"/>
      <c r="V54" s="61"/>
      <c r="W54" s="72"/>
    </row>
    <row r="55" spans="1:23" s="21" customFormat="1" ht="42" customHeight="1" x14ac:dyDescent="0.2">
      <c r="A55" s="26">
        <v>5</v>
      </c>
      <c r="B55" s="26" t="s">
        <v>798</v>
      </c>
      <c r="C55" s="26" t="s">
        <v>705</v>
      </c>
      <c r="D55" s="26">
        <v>1</v>
      </c>
      <c r="E55" s="26" t="s">
        <v>78</v>
      </c>
      <c r="F55" s="26" t="s">
        <v>799</v>
      </c>
      <c r="G55" s="26">
        <v>78</v>
      </c>
      <c r="H55" s="26" t="s">
        <v>800</v>
      </c>
      <c r="I55" s="26" t="s">
        <v>705</v>
      </c>
      <c r="J55" s="26" t="s">
        <v>801</v>
      </c>
      <c r="K55" s="26"/>
      <c r="L55" s="24"/>
      <c r="M55" s="71"/>
      <c r="N55" s="61"/>
      <c r="O55" s="61"/>
      <c r="P55" s="61"/>
      <c r="Q55" s="61"/>
      <c r="R55" s="61"/>
      <c r="S55" s="61"/>
      <c r="T55" s="61"/>
      <c r="U55" s="61"/>
      <c r="V55" s="61"/>
      <c r="W55" s="72"/>
    </row>
    <row r="56" spans="1:23" s="21" customFormat="1" ht="42" customHeight="1" x14ac:dyDescent="0.2">
      <c r="A56" s="26">
        <v>5</v>
      </c>
      <c r="B56" s="26" t="s">
        <v>798</v>
      </c>
      <c r="C56" s="26" t="s">
        <v>705</v>
      </c>
      <c r="D56" s="26">
        <v>2</v>
      </c>
      <c r="E56" s="26" t="s">
        <v>78</v>
      </c>
      <c r="F56" s="26" t="s">
        <v>802</v>
      </c>
      <c r="G56" s="26">
        <v>51</v>
      </c>
      <c r="H56" s="26" t="s">
        <v>803</v>
      </c>
      <c r="I56" s="26" t="s">
        <v>705</v>
      </c>
      <c r="J56" s="26" t="s">
        <v>804</v>
      </c>
      <c r="K56" s="26"/>
      <c r="L56" s="24"/>
      <c r="M56" s="71"/>
      <c r="N56" s="61"/>
      <c r="O56" s="61"/>
      <c r="P56" s="61"/>
      <c r="Q56" s="61"/>
      <c r="R56" s="61"/>
      <c r="S56" s="61"/>
      <c r="T56" s="61"/>
      <c r="U56" s="61"/>
      <c r="V56" s="61"/>
      <c r="W56" s="72"/>
    </row>
    <row r="57" spans="1:23" s="21" customFormat="1" ht="42" customHeight="1" x14ac:dyDescent="0.2">
      <c r="A57" s="26">
        <v>5</v>
      </c>
      <c r="B57" s="26" t="s">
        <v>798</v>
      </c>
      <c r="C57" s="26" t="s">
        <v>705</v>
      </c>
      <c r="D57" s="26">
        <v>3</v>
      </c>
      <c r="E57" s="26" t="s">
        <v>78</v>
      </c>
      <c r="F57" s="26" t="s">
        <v>806</v>
      </c>
      <c r="G57" s="26">
        <v>23</v>
      </c>
      <c r="H57" s="26" t="s">
        <v>805</v>
      </c>
      <c r="I57" s="26" t="s">
        <v>705</v>
      </c>
      <c r="J57" s="26" t="s">
        <v>807</v>
      </c>
      <c r="K57" s="26"/>
      <c r="L57" s="24"/>
      <c r="M57" s="71"/>
      <c r="N57" s="61"/>
      <c r="O57" s="61"/>
      <c r="P57" s="61"/>
      <c r="Q57" s="61"/>
      <c r="R57" s="61"/>
      <c r="S57" s="61"/>
      <c r="T57" s="61"/>
      <c r="U57" s="61"/>
      <c r="V57" s="61"/>
      <c r="W57" s="72"/>
    </row>
    <row r="58" spans="1:23" s="21" customFormat="1" ht="42" customHeight="1" x14ac:dyDescent="0.2">
      <c r="A58" s="26">
        <v>5</v>
      </c>
      <c r="B58" s="26" t="s">
        <v>798</v>
      </c>
      <c r="C58" s="26" t="s">
        <v>705</v>
      </c>
      <c r="D58" s="26">
        <v>4</v>
      </c>
      <c r="E58" s="26" t="s">
        <v>78</v>
      </c>
      <c r="F58" s="26" t="s">
        <v>808</v>
      </c>
      <c r="G58" s="26">
        <v>44</v>
      </c>
      <c r="H58" s="26" t="s">
        <v>810</v>
      </c>
      <c r="I58" s="26" t="s">
        <v>705</v>
      </c>
      <c r="J58" s="26" t="s">
        <v>809</v>
      </c>
      <c r="K58" s="26"/>
      <c r="L58" s="24"/>
      <c r="M58" s="71"/>
      <c r="N58" s="61"/>
      <c r="O58" s="61"/>
      <c r="P58" s="61"/>
      <c r="Q58" s="61"/>
      <c r="R58" s="61"/>
      <c r="S58" s="61"/>
      <c r="T58" s="61"/>
      <c r="U58" s="61"/>
      <c r="V58" s="61"/>
      <c r="W58" s="72"/>
    </row>
    <row r="59" spans="1:23" s="21" customFormat="1" ht="42" customHeight="1" x14ac:dyDescent="0.2">
      <c r="A59" s="26">
        <v>5</v>
      </c>
      <c r="B59" s="26" t="s">
        <v>798</v>
      </c>
      <c r="C59" s="26" t="s">
        <v>705</v>
      </c>
      <c r="D59" s="26">
        <v>5</v>
      </c>
      <c r="E59" s="26" t="s">
        <v>78</v>
      </c>
      <c r="F59" s="26" t="s">
        <v>811</v>
      </c>
      <c r="G59" s="26">
        <v>38</v>
      </c>
      <c r="H59" s="26" t="s">
        <v>813</v>
      </c>
      <c r="I59" s="26" t="s">
        <v>705</v>
      </c>
      <c r="J59" s="26" t="s">
        <v>812</v>
      </c>
      <c r="K59" s="26"/>
      <c r="L59" s="24"/>
      <c r="M59" s="71"/>
      <c r="N59" s="61"/>
      <c r="O59" s="61"/>
      <c r="P59" s="61"/>
      <c r="Q59" s="61"/>
      <c r="R59" s="61"/>
      <c r="S59" s="61"/>
      <c r="T59" s="61"/>
      <c r="U59" s="61"/>
      <c r="V59" s="61"/>
      <c r="W59" s="72"/>
    </row>
    <row r="60" spans="1:23" s="21" customFormat="1" ht="42" customHeight="1" x14ac:dyDescent="0.2">
      <c r="A60" s="26">
        <v>5</v>
      </c>
      <c r="B60" s="26" t="s">
        <v>798</v>
      </c>
      <c r="C60" s="26" t="s">
        <v>705</v>
      </c>
      <c r="D60" s="26">
        <v>6</v>
      </c>
      <c r="E60" s="26" t="s">
        <v>78</v>
      </c>
      <c r="F60" s="26" t="s">
        <v>814</v>
      </c>
      <c r="G60" s="26">
        <v>53</v>
      </c>
      <c r="H60" s="26" t="s">
        <v>815</v>
      </c>
      <c r="I60" s="26" t="s">
        <v>705</v>
      </c>
      <c r="J60" s="26" t="s">
        <v>816</v>
      </c>
      <c r="K60" s="26"/>
      <c r="L60" s="24"/>
      <c r="M60" s="71"/>
      <c r="N60" s="61"/>
      <c r="O60" s="61"/>
      <c r="P60" s="61"/>
      <c r="Q60" s="61"/>
      <c r="R60" s="61"/>
      <c r="S60" s="61"/>
      <c r="T60" s="61"/>
      <c r="U60" s="61"/>
      <c r="V60" s="61"/>
      <c r="W60" s="72"/>
    </row>
    <row r="61" spans="1:23" s="21" customFormat="1" ht="42" customHeight="1" x14ac:dyDescent="0.2">
      <c r="A61" s="26">
        <v>6</v>
      </c>
      <c r="B61" s="26" t="s">
        <v>817</v>
      </c>
      <c r="C61" s="26" t="s">
        <v>705</v>
      </c>
      <c r="D61" s="26">
        <v>1</v>
      </c>
      <c r="E61" s="26" t="s">
        <v>78</v>
      </c>
      <c r="F61" s="26" t="s">
        <v>819</v>
      </c>
      <c r="G61" s="26">
        <v>22</v>
      </c>
      <c r="H61" s="26" t="s">
        <v>818</v>
      </c>
      <c r="I61" s="26" t="s">
        <v>705</v>
      </c>
      <c r="J61" s="26" t="s">
        <v>819</v>
      </c>
      <c r="K61" s="26"/>
      <c r="L61" s="24"/>
      <c r="M61" s="71"/>
      <c r="N61" s="61"/>
      <c r="O61" s="61"/>
      <c r="P61" s="61"/>
      <c r="Q61" s="61"/>
      <c r="R61" s="61"/>
      <c r="S61" s="61"/>
      <c r="T61" s="61"/>
      <c r="U61" s="61"/>
      <c r="V61" s="61"/>
      <c r="W61" s="72"/>
    </row>
    <row r="62" spans="1:23" s="21" customFormat="1" ht="42" customHeight="1" x14ac:dyDescent="0.2">
      <c r="A62" s="26">
        <v>6</v>
      </c>
      <c r="B62" s="26" t="s">
        <v>817</v>
      </c>
      <c r="C62" s="26" t="s">
        <v>705</v>
      </c>
      <c r="D62" s="26">
        <v>2</v>
      </c>
      <c r="E62" s="26" t="s">
        <v>36</v>
      </c>
      <c r="F62" s="26" t="s">
        <v>820</v>
      </c>
      <c r="G62" s="26">
        <v>2</v>
      </c>
      <c r="H62" s="26" t="s">
        <v>821</v>
      </c>
      <c r="I62" s="26" t="s">
        <v>705</v>
      </c>
      <c r="J62" s="26"/>
      <c r="K62" s="26"/>
      <c r="L62" s="24"/>
      <c r="M62" s="71"/>
      <c r="N62" s="61"/>
      <c r="O62" s="61"/>
      <c r="P62" s="61"/>
      <c r="Q62" s="61"/>
      <c r="R62" s="61"/>
      <c r="S62" s="61"/>
      <c r="T62" s="61"/>
      <c r="U62" s="61"/>
      <c r="V62" s="61"/>
      <c r="W62" s="72"/>
    </row>
    <row r="63" spans="1:23" s="21" customFormat="1" ht="42" customHeight="1" x14ac:dyDescent="0.2">
      <c r="A63" s="26">
        <v>6</v>
      </c>
      <c r="B63" s="26" t="s">
        <v>817</v>
      </c>
      <c r="C63" s="26" t="s">
        <v>705</v>
      </c>
      <c r="D63" s="26">
        <v>3</v>
      </c>
      <c r="E63" s="26" t="s">
        <v>24</v>
      </c>
      <c r="F63" s="26" t="s">
        <v>822</v>
      </c>
      <c r="G63" s="26">
        <v>2</v>
      </c>
      <c r="H63" s="26" t="s">
        <v>824</v>
      </c>
      <c r="I63" s="26" t="s">
        <v>705</v>
      </c>
      <c r="J63" s="26" t="s">
        <v>823</v>
      </c>
      <c r="K63" s="26"/>
      <c r="L63" s="24"/>
      <c r="M63" s="71"/>
      <c r="N63" s="61"/>
      <c r="O63" s="61"/>
      <c r="P63" s="61"/>
      <c r="Q63" s="61"/>
      <c r="R63" s="61"/>
      <c r="S63" s="61"/>
      <c r="T63" s="61"/>
      <c r="U63" s="61"/>
      <c r="V63" s="61"/>
      <c r="W63" s="72"/>
    </row>
    <row r="64" spans="1:23" s="21" customFormat="1" ht="42" customHeight="1" x14ac:dyDescent="0.2">
      <c r="A64" s="26">
        <v>6</v>
      </c>
      <c r="B64" s="26" t="s">
        <v>817</v>
      </c>
      <c r="C64" s="26" t="s">
        <v>705</v>
      </c>
      <c r="D64" s="26">
        <v>4</v>
      </c>
      <c r="E64" s="26" t="s">
        <v>48</v>
      </c>
      <c r="F64" s="26" t="s">
        <v>825</v>
      </c>
      <c r="G64" s="26">
        <v>6</v>
      </c>
      <c r="H64" s="26" t="s">
        <v>827</v>
      </c>
      <c r="I64" s="26" t="s">
        <v>705</v>
      </c>
      <c r="J64" s="26" t="s">
        <v>826</v>
      </c>
      <c r="K64" s="26"/>
      <c r="L64" s="24"/>
      <c r="M64" s="71"/>
      <c r="N64" s="61"/>
      <c r="O64" s="61"/>
      <c r="P64" s="61"/>
      <c r="Q64" s="61"/>
      <c r="R64" s="61"/>
      <c r="S64" s="61"/>
      <c r="T64" s="61"/>
      <c r="U64" s="61"/>
      <c r="V64" s="61"/>
      <c r="W64" s="72"/>
    </row>
    <row r="65" spans="1:23" s="21" customFormat="1" ht="42" customHeight="1" x14ac:dyDescent="0.2">
      <c r="A65" s="26">
        <v>6</v>
      </c>
      <c r="B65" s="26" t="s">
        <v>817</v>
      </c>
      <c r="C65" s="26" t="s">
        <v>705</v>
      </c>
      <c r="D65" s="26">
        <v>5</v>
      </c>
      <c r="E65" s="26" t="s">
        <v>48</v>
      </c>
      <c r="F65" s="26" t="s">
        <v>830</v>
      </c>
      <c r="G65" s="26">
        <v>4</v>
      </c>
      <c r="H65" s="26" t="s">
        <v>828</v>
      </c>
      <c r="I65" s="26" t="s">
        <v>705</v>
      </c>
      <c r="J65" s="26" t="s">
        <v>829</v>
      </c>
      <c r="K65" s="26"/>
      <c r="L65" s="24"/>
      <c r="M65" s="71"/>
      <c r="N65" s="61"/>
      <c r="O65" s="61"/>
      <c r="P65" s="61"/>
      <c r="Q65" s="61"/>
      <c r="R65" s="61"/>
      <c r="S65" s="61"/>
      <c r="T65" s="61"/>
      <c r="U65" s="61"/>
      <c r="V65" s="61"/>
      <c r="W65" s="72"/>
    </row>
    <row r="66" spans="1:23" s="21" customFormat="1" ht="42" customHeight="1" x14ac:dyDescent="0.2">
      <c r="A66" s="26">
        <v>6</v>
      </c>
      <c r="B66" s="26" t="s">
        <v>817</v>
      </c>
      <c r="C66" s="26" t="s">
        <v>705</v>
      </c>
      <c r="D66" s="26">
        <v>6</v>
      </c>
      <c r="E66" s="26" t="s">
        <v>48</v>
      </c>
      <c r="F66" s="26" t="s">
        <v>831</v>
      </c>
      <c r="G66" s="26">
        <v>4</v>
      </c>
      <c r="H66" s="26" t="s">
        <v>832</v>
      </c>
      <c r="I66" s="26" t="s">
        <v>705</v>
      </c>
      <c r="J66" s="26" t="s">
        <v>833</v>
      </c>
      <c r="K66" s="26"/>
      <c r="L66" s="24"/>
      <c r="M66" s="71"/>
      <c r="N66" s="61"/>
      <c r="O66" s="61"/>
      <c r="P66" s="61"/>
      <c r="Q66" s="61"/>
      <c r="R66" s="61"/>
      <c r="S66" s="61"/>
      <c r="T66" s="61"/>
      <c r="U66" s="61"/>
      <c r="V66" s="61"/>
      <c r="W66" s="72"/>
    </row>
    <row r="67" spans="1:23" s="21" customFormat="1" ht="42" customHeight="1" x14ac:dyDescent="0.2">
      <c r="A67" s="26">
        <v>6</v>
      </c>
      <c r="B67" s="26" t="s">
        <v>817</v>
      </c>
      <c r="C67" s="26" t="s">
        <v>705</v>
      </c>
      <c r="D67" s="26">
        <v>7</v>
      </c>
      <c r="E67" s="26" t="s">
        <v>48</v>
      </c>
      <c r="F67" s="26" t="s">
        <v>834</v>
      </c>
      <c r="G67" s="26">
        <v>4</v>
      </c>
      <c r="H67" s="26" t="s">
        <v>836</v>
      </c>
      <c r="I67" s="26" t="s">
        <v>705</v>
      </c>
      <c r="J67" s="26" t="s">
        <v>835</v>
      </c>
      <c r="K67" s="26"/>
      <c r="L67" s="24"/>
      <c r="M67" s="71"/>
      <c r="N67" s="61"/>
      <c r="O67" s="61"/>
      <c r="P67" s="61"/>
      <c r="Q67" s="61"/>
      <c r="R67" s="61"/>
      <c r="S67" s="61"/>
      <c r="T67" s="61"/>
      <c r="U67" s="61"/>
      <c r="V67" s="61"/>
      <c r="W67" s="72"/>
    </row>
    <row r="68" spans="1:23" s="21" customFormat="1" ht="42" customHeight="1" x14ac:dyDescent="0.2">
      <c r="A68" s="26">
        <v>7</v>
      </c>
      <c r="B68" s="26" t="s">
        <v>837</v>
      </c>
      <c r="C68" s="26" t="s">
        <v>705</v>
      </c>
      <c r="D68" s="26">
        <v>1</v>
      </c>
      <c r="E68" s="26" t="s">
        <v>36</v>
      </c>
      <c r="F68" s="26" t="s">
        <v>839</v>
      </c>
      <c r="G68" s="26">
        <v>2</v>
      </c>
      <c r="H68" s="26" t="s">
        <v>838</v>
      </c>
      <c r="I68" s="26"/>
      <c r="J68" s="26"/>
      <c r="K68" s="26"/>
      <c r="L68" s="24"/>
      <c r="M68" s="71"/>
      <c r="N68" s="61"/>
      <c r="O68" s="61"/>
      <c r="P68" s="61"/>
      <c r="Q68" s="61"/>
      <c r="R68" s="61"/>
      <c r="S68" s="61"/>
      <c r="T68" s="61"/>
      <c r="U68" s="61"/>
      <c r="V68" s="61"/>
      <c r="W68" s="72"/>
    </row>
    <row r="69" spans="1:23" s="21" customFormat="1" ht="42" customHeight="1" x14ac:dyDescent="0.2">
      <c r="A69" s="26">
        <v>7</v>
      </c>
      <c r="B69" s="26" t="s">
        <v>837</v>
      </c>
      <c r="C69" s="26" t="s">
        <v>705</v>
      </c>
      <c r="D69" s="26">
        <v>2</v>
      </c>
      <c r="E69" s="26" t="s">
        <v>36</v>
      </c>
      <c r="F69" s="26" t="s">
        <v>840</v>
      </c>
      <c r="G69" s="26">
        <v>2</v>
      </c>
      <c r="H69" s="26" t="s">
        <v>841</v>
      </c>
      <c r="I69" s="26"/>
      <c r="J69" s="26"/>
      <c r="K69" s="26"/>
      <c r="L69" s="24"/>
      <c r="M69" s="71"/>
      <c r="N69" s="61"/>
      <c r="O69" s="61"/>
      <c r="P69" s="61"/>
      <c r="Q69" s="61"/>
      <c r="R69" s="61"/>
      <c r="S69" s="61"/>
      <c r="T69" s="61"/>
      <c r="U69" s="61"/>
      <c r="V69" s="61"/>
      <c r="W69" s="72"/>
    </row>
    <row r="70" spans="1:23" s="21" customFormat="1" ht="42" customHeight="1" x14ac:dyDescent="0.2">
      <c r="A70" s="26">
        <v>8</v>
      </c>
      <c r="B70" s="26" t="s">
        <v>842</v>
      </c>
      <c r="C70" s="26" t="s">
        <v>705</v>
      </c>
      <c r="D70" s="26">
        <v>1</v>
      </c>
      <c r="E70" s="26" t="s">
        <v>26</v>
      </c>
      <c r="F70" s="26" t="s">
        <v>843</v>
      </c>
      <c r="G70" s="26">
        <v>30</v>
      </c>
      <c r="H70" s="26"/>
      <c r="I70" s="26"/>
      <c r="J70" s="26"/>
      <c r="K70" s="26"/>
      <c r="L70" s="24"/>
      <c r="M70" s="71"/>
      <c r="N70" s="61"/>
      <c r="O70" s="61"/>
      <c r="P70" s="61"/>
      <c r="Q70" s="61"/>
      <c r="R70" s="61"/>
      <c r="S70" s="61"/>
      <c r="T70" s="61"/>
      <c r="U70" s="61"/>
      <c r="V70" s="61"/>
      <c r="W70" s="72"/>
    </row>
    <row r="71" spans="1:23" s="21" customFormat="1" ht="42" customHeight="1" x14ac:dyDescent="0.2">
      <c r="A71" s="26">
        <v>9</v>
      </c>
      <c r="B71" s="26" t="s">
        <v>844</v>
      </c>
      <c r="C71" s="26" t="s">
        <v>705</v>
      </c>
      <c r="D71" s="26">
        <v>1</v>
      </c>
      <c r="E71" s="26"/>
      <c r="F71" s="26" t="s">
        <v>845</v>
      </c>
      <c r="G71" s="26"/>
      <c r="H71" s="26" t="s">
        <v>847</v>
      </c>
      <c r="I71" s="26"/>
      <c r="J71" s="26" t="s">
        <v>846</v>
      </c>
      <c r="K71" s="26"/>
      <c r="L71" s="24"/>
      <c r="M71" s="71"/>
      <c r="N71" s="61"/>
      <c r="O71" s="61"/>
      <c r="P71" s="61"/>
      <c r="Q71" s="61"/>
      <c r="R71" s="61"/>
      <c r="S71" s="61"/>
      <c r="T71" s="61"/>
      <c r="U71" s="61"/>
      <c r="V71" s="61"/>
      <c r="W71" s="72"/>
    </row>
    <row r="72" spans="1:23" s="21" customFormat="1" ht="42" customHeight="1" x14ac:dyDescent="0.2">
      <c r="A72" s="26">
        <v>9</v>
      </c>
      <c r="B72" s="26" t="s">
        <v>844</v>
      </c>
      <c r="C72" s="26" t="s">
        <v>705</v>
      </c>
      <c r="D72" s="26">
        <v>2</v>
      </c>
      <c r="E72" s="26"/>
      <c r="F72" s="26"/>
      <c r="G72" s="26"/>
      <c r="H72" s="26"/>
      <c r="I72" s="26"/>
      <c r="J72" s="26"/>
      <c r="K72" s="26"/>
      <c r="L72" s="24"/>
      <c r="M72" s="71"/>
      <c r="N72" s="61"/>
      <c r="O72" s="61"/>
      <c r="P72" s="61"/>
      <c r="Q72" s="61"/>
      <c r="R72" s="61"/>
      <c r="S72" s="61"/>
      <c r="T72" s="61"/>
      <c r="U72" s="61"/>
      <c r="V72" s="61"/>
      <c r="W72" s="72"/>
    </row>
    <row r="73" spans="1:23" s="21" customFormat="1" ht="42" customHeight="1" x14ac:dyDescent="0.2">
      <c r="A73" s="26">
        <v>9</v>
      </c>
      <c r="B73" s="26" t="s">
        <v>844</v>
      </c>
      <c r="C73" s="26" t="s">
        <v>705</v>
      </c>
      <c r="D73" s="26">
        <v>5</v>
      </c>
      <c r="E73" s="26"/>
      <c r="F73" s="26"/>
      <c r="G73" s="26"/>
      <c r="H73" s="26"/>
      <c r="I73" s="26"/>
      <c r="J73" s="26"/>
      <c r="K73" s="26"/>
      <c r="L73" s="24"/>
      <c r="M73" s="71"/>
      <c r="N73" s="61"/>
      <c r="O73" s="61"/>
      <c r="P73" s="61"/>
      <c r="Q73" s="61"/>
      <c r="R73" s="61"/>
      <c r="S73" s="61"/>
      <c r="T73" s="61"/>
      <c r="U73" s="61"/>
      <c r="V73" s="61"/>
      <c r="W73" s="72"/>
    </row>
    <row r="74" spans="1:23" s="21" customFormat="1" ht="42" customHeight="1" x14ac:dyDescent="0.2">
      <c r="A74" s="26"/>
      <c r="B74" s="26"/>
      <c r="C74" s="26"/>
      <c r="D74" s="26"/>
      <c r="E74" s="26"/>
      <c r="F74" s="26"/>
      <c r="G74" s="26"/>
      <c r="H74" s="26"/>
      <c r="I74" s="26"/>
      <c r="J74" s="26"/>
      <c r="K74" s="26"/>
      <c r="L74" s="24"/>
      <c r="M74" s="71"/>
      <c r="N74" s="61"/>
      <c r="O74" s="61"/>
      <c r="P74" s="61"/>
      <c r="Q74" s="61"/>
      <c r="R74" s="61"/>
      <c r="S74" s="61"/>
      <c r="T74" s="61"/>
      <c r="U74" s="61"/>
      <c r="V74" s="61"/>
      <c r="W74" s="72"/>
    </row>
    <row r="75" spans="1:23" s="21" customFormat="1" ht="42" customHeight="1" x14ac:dyDescent="0.2">
      <c r="A75" s="26"/>
      <c r="B75" s="26"/>
      <c r="C75" s="26"/>
      <c r="D75" s="26"/>
      <c r="E75" s="26"/>
      <c r="F75" s="26"/>
      <c r="G75" s="26"/>
      <c r="H75" s="26"/>
      <c r="I75" s="26"/>
      <c r="J75" s="26"/>
      <c r="K75" s="26"/>
      <c r="L75" s="24"/>
      <c r="M75" s="71"/>
      <c r="N75" s="61"/>
      <c r="O75" s="61"/>
      <c r="P75" s="61"/>
      <c r="Q75" s="61"/>
      <c r="R75" s="61"/>
      <c r="S75" s="61"/>
      <c r="T75" s="61"/>
      <c r="U75" s="61"/>
      <c r="V75" s="61"/>
      <c r="W75" s="72"/>
    </row>
    <row r="76" spans="1:23" s="21" customFormat="1" ht="42" customHeight="1" x14ac:dyDescent="0.2">
      <c r="A76" s="26"/>
      <c r="B76" s="26"/>
      <c r="C76" s="26"/>
      <c r="D76" s="26"/>
      <c r="E76" s="26"/>
      <c r="F76" s="26"/>
      <c r="G76" s="26"/>
      <c r="H76" s="26"/>
      <c r="I76" s="26"/>
      <c r="J76" s="26"/>
      <c r="K76" s="26"/>
      <c r="L76" s="24"/>
      <c r="M76" s="71"/>
      <c r="N76" s="61"/>
      <c r="O76" s="61"/>
      <c r="P76" s="61"/>
      <c r="Q76" s="61"/>
      <c r="R76" s="61"/>
      <c r="S76" s="61"/>
      <c r="T76" s="61"/>
      <c r="U76" s="61"/>
      <c r="V76" s="61"/>
      <c r="W76" s="72"/>
    </row>
    <row r="77" spans="1:23" s="21" customFormat="1" ht="42" customHeight="1" x14ac:dyDescent="0.2">
      <c r="A77" s="26"/>
      <c r="B77" s="26"/>
      <c r="C77" s="26"/>
      <c r="D77" s="26"/>
      <c r="E77" s="26"/>
      <c r="F77" s="26"/>
      <c r="G77" s="26"/>
      <c r="H77" s="26"/>
      <c r="I77" s="26"/>
      <c r="J77" s="26"/>
      <c r="K77" s="26"/>
      <c r="L77" s="24"/>
      <c r="M77" s="71"/>
      <c r="N77" s="61"/>
      <c r="O77" s="61"/>
      <c r="P77" s="61"/>
      <c r="Q77" s="61"/>
      <c r="R77" s="61"/>
      <c r="S77" s="61"/>
      <c r="T77" s="61"/>
      <c r="U77" s="61"/>
      <c r="V77" s="61"/>
      <c r="W77" s="72"/>
    </row>
    <row r="78" spans="1:23" s="21" customFormat="1" ht="42" customHeight="1" x14ac:dyDescent="0.2">
      <c r="A78" s="26"/>
      <c r="B78" s="26"/>
      <c r="C78" s="26"/>
      <c r="D78" s="26"/>
      <c r="E78" s="26"/>
      <c r="F78" s="26"/>
      <c r="G78" s="26"/>
      <c r="H78" s="26"/>
      <c r="I78" s="26"/>
      <c r="J78" s="26"/>
      <c r="K78" s="26"/>
      <c r="L78" s="24"/>
      <c r="M78" s="71"/>
      <c r="N78" s="61"/>
      <c r="O78" s="61"/>
      <c r="P78" s="61"/>
      <c r="Q78" s="61"/>
      <c r="R78" s="61"/>
      <c r="S78" s="61"/>
      <c r="T78" s="61"/>
      <c r="U78" s="61"/>
      <c r="V78" s="61"/>
      <c r="W78" s="72"/>
    </row>
    <row r="79" spans="1:23" s="21" customFormat="1" ht="42" customHeight="1" x14ac:dyDescent="0.2">
      <c r="A79" s="26"/>
      <c r="B79" s="26"/>
      <c r="C79" s="26"/>
      <c r="D79" s="26"/>
      <c r="E79" s="26"/>
      <c r="F79" s="26"/>
      <c r="G79" s="26"/>
      <c r="H79" s="26"/>
      <c r="I79" s="26"/>
      <c r="J79" s="26"/>
      <c r="K79" s="26"/>
      <c r="L79" s="24"/>
      <c r="M79" s="71"/>
      <c r="N79" s="61"/>
      <c r="O79" s="61"/>
      <c r="P79" s="61"/>
      <c r="Q79" s="61"/>
      <c r="R79" s="61"/>
      <c r="S79" s="61"/>
      <c r="T79" s="61"/>
      <c r="U79" s="61"/>
      <c r="V79" s="61"/>
      <c r="W79" s="72"/>
    </row>
    <row r="80" spans="1:23" s="21" customFormat="1" ht="42" customHeight="1" x14ac:dyDescent="0.2">
      <c r="A80" s="26"/>
      <c r="B80" s="26"/>
      <c r="C80" s="26"/>
      <c r="D80" s="26"/>
      <c r="E80" s="26"/>
      <c r="F80" s="26"/>
      <c r="G80" s="26"/>
      <c r="H80" s="26"/>
      <c r="I80" s="26"/>
      <c r="J80" s="26"/>
      <c r="K80" s="26"/>
      <c r="L80" s="24"/>
      <c r="M80" s="71"/>
      <c r="N80" s="61"/>
      <c r="O80" s="61"/>
      <c r="P80" s="61"/>
      <c r="Q80" s="61"/>
      <c r="R80" s="61"/>
      <c r="S80" s="61"/>
      <c r="T80" s="61"/>
      <c r="U80" s="61"/>
      <c r="V80" s="61"/>
      <c r="W80" s="72"/>
    </row>
    <row r="81" spans="1:23" s="21" customFormat="1" ht="42" customHeight="1" x14ac:dyDescent="0.2">
      <c r="A81" s="26"/>
      <c r="B81" s="26"/>
      <c r="C81" s="26"/>
      <c r="D81" s="26"/>
      <c r="E81" s="26"/>
      <c r="F81" s="26"/>
      <c r="G81" s="26"/>
      <c r="H81" s="26"/>
      <c r="I81" s="26"/>
      <c r="J81" s="26"/>
      <c r="K81" s="26"/>
      <c r="L81" s="24"/>
      <c r="M81" s="71"/>
      <c r="N81" s="61"/>
      <c r="O81" s="61"/>
      <c r="P81" s="61"/>
      <c r="Q81" s="61"/>
      <c r="R81" s="61"/>
      <c r="S81" s="61"/>
      <c r="T81" s="61"/>
      <c r="U81" s="61"/>
      <c r="V81" s="61"/>
      <c r="W81" s="72"/>
    </row>
    <row r="82" spans="1:23" s="21" customFormat="1" ht="42" customHeight="1" x14ac:dyDescent="0.2">
      <c r="A82" s="26"/>
      <c r="B82" s="26"/>
      <c r="C82" s="26"/>
      <c r="D82" s="26"/>
      <c r="E82" s="26"/>
      <c r="F82" s="26"/>
      <c r="G82" s="26"/>
      <c r="H82" s="26"/>
      <c r="I82" s="26"/>
      <c r="J82" s="26"/>
      <c r="K82" s="26"/>
      <c r="L82" s="24"/>
      <c r="M82" s="71"/>
      <c r="N82" s="61"/>
      <c r="O82" s="61"/>
      <c r="P82" s="61"/>
      <c r="Q82" s="61"/>
      <c r="R82" s="61"/>
      <c r="S82" s="61"/>
      <c r="T82" s="61"/>
      <c r="U82" s="61"/>
      <c r="V82" s="61"/>
      <c r="W82" s="72"/>
    </row>
    <row r="83" spans="1:23" s="21" customFormat="1" ht="42" customHeight="1" x14ac:dyDescent="0.2">
      <c r="A83" s="26"/>
      <c r="B83" s="26"/>
      <c r="C83" s="26"/>
      <c r="D83" s="26"/>
      <c r="E83" s="26"/>
      <c r="F83" s="26"/>
      <c r="G83" s="26"/>
      <c r="H83" s="26"/>
      <c r="I83" s="26"/>
      <c r="J83" s="26"/>
      <c r="K83" s="26"/>
      <c r="L83" s="24"/>
      <c r="M83" s="71"/>
      <c r="N83" s="61"/>
      <c r="O83" s="61"/>
      <c r="P83" s="61"/>
      <c r="Q83" s="61"/>
      <c r="R83" s="61"/>
      <c r="S83" s="61"/>
      <c r="T83" s="61"/>
      <c r="U83" s="61"/>
      <c r="V83" s="61"/>
      <c r="W83" s="72"/>
    </row>
    <row r="84" spans="1:23" s="21" customFormat="1" ht="42" customHeight="1" x14ac:dyDescent="0.2">
      <c r="A84" s="26"/>
      <c r="B84" s="26"/>
      <c r="C84" s="26"/>
      <c r="D84" s="26"/>
      <c r="E84" s="26"/>
      <c r="F84" s="26"/>
      <c r="G84" s="26"/>
      <c r="H84" s="26"/>
      <c r="I84" s="26"/>
      <c r="J84" s="26"/>
      <c r="K84" s="26"/>
      <c r="L84" s="24"/>
      <c r="M84" s="71"/>
      <c r="N84" s="61"/>
      <c r="O84" s="61"/>
      <c r="P84" s="61"/>
      <c r="Q84" s="61"/>
      <c r="R84" s="61"/>
      <c r="S84" s="61"/>
      <c r="T84" s="61"/>
      <c r="U84" s="61"/>
      <c r="V84" s="61"/>
      <c r="W84" s="72"/>
    </row>
    <row r="85" spans="1:23" s="21" customFormat="1" ht="42" customHeight="1" x14ac:dyDescent="0.2">
      <c r="A85" s="26"/>
      <c r="B85" s="26"/>
      <c r="C85" s="26"/>
      <c r="D85" s="26"/>
      <c r="E85" s="26"/>
      <c r="F85" s="26"/>
      <c r="G85" s="26"/>
      <c r="H85" s="26"/>
      <c r="I85" s="26"/>
      <c r="J85" s="26"/>
      <c r="K85" s="26"/>
      <c r="L85" s="24"/>
      <c r="M85" s="71"/>
      <c r="N85" s="61"/>
      <c r="O85" s="61"/>
      <c r="P85" s="61"/>
      <c r="Q85" s="61"/>
      <c r="R85" s="61"/>
      <c r="S85" s="61"/>
      <c r="T85" s="61"/>
      <c r="U85" s="61"/>
      <c r="V85" s="61"/>
      <c r="W85" s="72"/>
    </row>
    <row r="86" spans="1:23" s="21" customFormat="1" ht="42" customHeight="1" x14ac:dyDescent="0.2">
      <c r="A86" s="26"/>
      <c r="B86" s="26"/>
      <c r="C86" s="26"/>
      <c r="D86" s="26"/>
      <c r="E86" s="26"/>
      <c r="F86" s="26"/>
      <c r="G86" s="26"/>
      <c r="H86" s="26"/>
      <c r="I86" s="26"/>
      <c r="J86" s="26"/>
      <c r="K86" s="26"/>
      <c r="L86" s="24"/>
      <c r="M86" s="71"/>
      <c r="N86" s="61"/>
      <c r="O86" s="61"/>
      <c r="P86" s="61"/>
      <c r="Q86" s="61"/>
      <c r="R86" s="61"/>
      <c r="S86" s="61"/>
      <c r="T86" s="61"/>
      <c r="U86" s="61"/>
      <c r="V86" s="61"/>
      <c r="W86" s="72"/>
    </row>
    <row r="87" spans="1:23" s="21" customFormat="1" ht="42" customHeight="1" x14ac:dyDescent="0.2">
      <c r="A87" s="26"/>
      <c r="B87" s="26"/>
      <c r="C87" s="26"/>
      <c r="D87" s="26"/>
      <c r="E87" s="26"/>
      <c r="F87" s="26"/>
      <c r="G87" s="26"/>
      <c r="H87" s="26"/>
      <c r="I87" s="26"/>
      <c r="J87" s="26"/>
      <c r="K87" s="26"/>
      <c r="L87" s="24"/>
      <c r="M87" s="71"/>
      <c r="N87" s="61"/>
      <c r="O87" s="61"/>
      <c r="P87" s="61"/>
      <c r="Q87" s="61"/>
      <c r="R87" s="61"/>
      <c r="S87" s="61"/>
      <c r="T87" s="61"/>
      <c r="U87" s="61"/>
      <c r="V87" s="61"/>
      <c r="W87" s="72"/>
    </row>
    <row r="88" spans="1:23" s="21" customFormat="1" ht="42" customHeight="1" x14ac:dyDescent="0.2">
      <c r="A88" s="26"/>
      <c r="B88" s="26"/>
      <c r="C88" s="26"/>
      <c r="D88" s="26"/>
      <c r="E88" s="26"/>
      <c r="F88" s="26"/>
      <c r="G88" s="26"/>
      <c r="H88" s="26"/>
      <c r="I88" s="26"/>
      <c r="J88" s="26"/>
      <c r="K88" s="26"/>
      <c r="L88" s="24"/>
      <c r="M88" s="71"/>
      <c r="N88" s="61"/>
      <c r="O88" s="61"/>
      <c r="P88" s="61"/>
      <c r="Q88" s="61"/>
      <c r="R88" s="61"/>
      <c r="S88" s="61"/>
      <c r="T88" s="61"/>
      <c r="U88" s="61"/>
      <c r="V88" s="61"/>
      <c r="W88" s="72"/>
    </row>
    <row r="89" spans="1:23" s="21" customFormat="1" ht="42" customHeight="1" x14ac:dyDescent="0.2">
      <c r="A89" s="26"/>
      <c r="B89" s="26"/>
      <c r="C89" s="26"/>
      <c r="D89" s="26"/>
      <c r="E89" s="26"/>
      <c r="F89" s="26"/>
      <c r="G89" s="26"/>
      <c r="H89" s="26"/>
      <c r="I89" s="26"/>
      <c r="J89" s="26"/>
      <c r="K89" s="26"/>
      <c r="L89" s="24"/>
      <c r="M89" s="71"/>
      <c r="N89" s="61"/>
      <c r="O89" s="61"/>
      <c r="P89" s="61"/>
      <c r="Q89" s="61"/>
      <c r="R89" s="61"/>
      <c r="S89" s="61"/>
      <c r="T89" s="61"/>
      <c r="U89" s="61"/>
      <c r="V89" s="61"/>
      <c r="W89" s="72"/>
    </row>
    <row r="90" spans="1:23" s="21" customFormat="1" ht="42" customHeight="1" x14ac:dyDescent="0.2">
      <c r="A90" s="26"/>
      <c r="B90" s="26"/>
      <c r="C90" s="26"/>
      <c r="D90" s="26"/>
      <c r="E90" s="26"/>
      <c r="F90" s="26"/>
      <c r="G90" s="26"/>
      <c r="H90" s="26"/>
      <c r="I90" s="26"/>
      <c r="J90" s="26"/>
      <c r="K90" s="26"/>
      <c r="L90" s="24"/>
      <c r="M90" s="71"/>
      <c r="N90" s="61"/>
      <c r="O90" s="61"/>
      <c r="P90" s="61"/>
      <c r="Q90" s="61"/>
      <c r="R90" s="61"/>
      <c r="S90" s="61"/>
      <c r="T90" s="61"/>
      <c r="U90" s="61"/>
      <c r="V90" s="61"/>
      <c r="W90" s="72"/>
    </row>
    <row r="91" spans="1:23" s="21" customFormat="1" ht="42" customHeight="1" x14ac:dyDescent="0.2">
      <c r="A91" s="26"/>
      <c r="B91" s="26"/>
      <c r="C91" s="26"/>
      <c r="D91" s="26"/>
      <c r="E91" s="26"/>
      <c r="F91" s="26"/>
      <c r="G91" s="26"/>
      <c r="H91" s="26"/>
      <c r="I91" s="26"/>
      <c r="J91" s="26"/>
      <c r="K91" s="26"/>
      <c r="L91" s="24"/>
      <c r="M91" s="71"/>
      <c r="N91" s="61"/>
      <c r="O91" s="61"/>
      <c r="P91" s="61"/>
      <c r="Q91" s="61"/>
      <c r="R91" s="61"/>
      <c r="S91" s="61"/>
      <c r="T91" s="61"/>
      <c r="U91" s="61"/>
      <c r="V91" s="61"/>
      <c r="W91" s="72"/>
    </row>
    <row r="92" spans="1:23" s="21" customFormat="1" ht="42" customHeight="1" x14ac:dyDescent="0.2">
      <c r="A92" s="26"/>
      <c r="B92" s="26"/>
      <c r="C92" s="26"/>
      <c r="D92" s="26"/>
      <c r="E92" s="26"/>
      <c r="F92" s="26"/>
      <c r="G92" s="26"/>
      <c r="H92" s="26"/>
      <c r="I92" s="26"/>
      <c r="J92" s="26"/>
      <c r="K92" s="26"/>
      <c r="L92" s="24"/>
      <c r="M92" s="71"/>
      <c r="N92" s="61"/>
      <c r="O92" s="61"/>
      <c r="P92" s="61"/>
      <c r="Q92" s="61"/>
      <c r="R92" s="61"/>
      <c r="S92" s="61"/>
      <c r="T92" s="61"/>
      <c r="U92" s="61"/>
      <c r="V92" s="61"/>
      <c r="W92" s="72"/>
    </row>
    <row r="93" spans="1:23" s="21" customFormat="1" ht="42" customHeight="1" x14ac:dyDescent="0.2">
      <c r="A93" s="26"/>
      <c r="B93" s="26"/>
      <c r="C93" s="26"/>
      <c r="D93" s="26"/>
      <c r="E93" s="26"/>
      <c r="F93" s="26"/>
      <c r="G93" s="26"/>
      <c r="H93" s="26"/>
      <c r="I93" s="26"/>
      <c r="J93" s="26"/>
      <c r="K93" s="26"/>
      <c r="L93" s="24"/>
      <c r="M93" s="71"/>
      <c r="N93" s="61"/>
      <c r="O93" s="61"/>
      <c r="P93" s="61"/>
      <c r="Q93" s="61"/>
      <c r="R93" s="61"/>
      <c r="S93" s="61"/>
      <c r="T93" s="61"/>
      <c r="U93" s="61"/>
      <c r="V93" s="61"/>
      <c r="W93" s="72"/>
    </row>
    <row r="94" spans="1:23" s="21" customFormat="1" ht="42" customHeight="1" x14ac:dyDescent="0.2">
      <c r="A94" s="26"/>
      <c r="B94" s="26"/>
      <c r="C94" s="26"/>
      <c r="D94" s="26"/>
      <c r="E94" s="26"/>
      <c r="F94" s="26"/>
      <c r="G94" s="26"/>
      <c r="H94" s="26"/>
      <c r="I94" s="26"/>
      <c r="J94" s="26"/>
      <c r="K94" s="26"/>
      <c r="L94" s="24"/>
      <c r="M94" s="71"/>
      <c r="N94" s="61"/>
      <c r="O94" s="61"/>
      <c r="P94" s="61"/>
      <c r="Q94" s="61"/>
      <c r="R94" s="61"/>
      <c r="S94" s="61"/>
      <c r="T94" s="61"/>
      <c r="U94" s="61"/>
      <c r="V94" s="61"/>
      <c r="W94" s="72"/>
    </row>
    <row r="95" spans="1:23" s="21" customFormat="1" ht="42" customHeight="1" x14ac:dyDescent="0.2">
      <c r="A95" s="26"/>
      <c r="B95" s="26"/>
      <c r="C95" s="26"/>
      <c r="D95" s="26"/>
      <c r="E95" s="26"/>
      <c r="F95" s="26"/>
      <c r="G95" s="26"/>
      <c r="H95" s="26"/>
      <c r="I95" s="26"/>
      <c r="J95" s="26"/>
      <c r="K95" s="26"/>
      <c r="L95" s="24"/>
      <c r="M95" s="71"/>
      <c r="N95" s="61"/>
      <c r="O95" s="61"/>
      <c r="P95" s="61"/>
      <c r="Q95" s="61"/>
      <c r="R95" s="61"/>
      <c r="S95" s="61"/>
      <c r="T95" s="61"/>
      <c r="U95" s="61"/>
      <c r="V95" s="61"/>
      <c r="W95" s="72"/>
    </row>
    <row r="96" spans="1:23" s="21" customFormat="1" ht="42" customHeight="1" x14ac:dyDescent="0.2">
      <c r="A96" s="26"/>
      <c r="B96" s="26"/>
      <c r="C96" s="26"/>
      <c r="D96" s="26"/>
      <c r="E96" s="26"/>
      <c r="F96" s="26"/>
      <c r="G96" s="26"/>
      <c r="H96" s="26"/>
      <c r="I96" s="26"/>
      <c r="J96" s="26"/>
      <c r="K96" s="26"/>
      <c r="L96" s="24"/>
      <c r="M96" s="71"/>
      <c r="N96" s="61"/>
      <c r="O96" s="61"/>
      <c r="P96" s="61"/>
      <c r="Q96" s="61"/>
      <c r="R96" s="61"/>
      <c r="S96" s="61"/>
      <c r="T96" s="61"/>
      <c r="U96" s="61"/>
      <c r="V96" s="61"/>
      <c r="W96" s="72"/>
    </row>
    <row r="97" spans="1:23" s="21" customFormat="1" ht="42" customHeight="1" x14ac:dyDescent="0.2">
      <c r="A97" s="26"/>
      <c r="B97" s="26"/>
      <c r="C97" s="26"/>
      <c r="D97" s="26"/>
      <c r="E97" s="26"/>
      <c r="F97" s="26"/>
      <c r="G97" s="26"/>
      <c r="H97" s="26"/>
      <c r="I97" s="26"/>
      <c r="J97" s="26"/>
      <c r="K97" s="26"/>
      <c r="L97" s="24"/>
      <c r="M97" s="71"/>
      <c r="N97" s="61"/>
      <c r="O97" s="61"/>
      <c r="P97" s="61"/>
      <c r="Q97" s="61"/>
      <c r="R97" s="61"/>
      <c r="S97" s="61"/>
      <c r="T97" s="61"/>
      <c r="U97" s="61"/>
      <c r="V97" s="61"/>
      <c r="W97" s="72"/>
    </row>
    <row r="98" spans="1:23" s="21" customFormat="1" ht="42" customHeight="1" x14ac:dyDescent="0.2">
      <c r="A98" s="26"/>
      <c r="B98" s="26"/>
      <c r="C98" s="26"/>
      <c r="D98" s="26"/>
      <c r="E98" s="26"/>
      <c r="F98" s="26"/>
      <c r="G98" s="26"/>
      <c r="H98" s="26"/>
      <c r="I98" s="26"/>
      <c r="J98" s="26"/>
      <c r="K98" s="26"/>
      <c r="L98" s="24"/>
      <c r="M98" s="71"/>
      <c r="N98" s="61"/>
      <c r="O98" s="61"/>
      <c r="P98" s="61"/>
      <c r="Q98" s="61"/>
      <c r="R98" s="61"/>
      <c r="S98" s="61"/>
      <c r="T98" s="61"/>
      <c r="U98" s="61"/>
      <c r="V98" s="61"/>
      <c r="W98" s="72"/>
    </row>
    <row r="99" spans="1:23" s="21" customFormat="1" ht="42" customHeight="1" x14ac:dyDescent="0.2">
      <c r="A99" s="26"/>
      <c r="B99" s="26"/>
      <c r="C99" s="26"/>
      <c r="D99" s="26"/>
      <c r="E99" s="26"/>
      <c r="F99" s="26"/>
      <c r="G99" s="26"/>
      <c r="H99" s="26"/>
      <c r="I99" s="26"/>
      <c r="J99" s="26"/>
      <c r="K99" s="26"/>
      <c r="L99" s="24"/>
      <c r="M99" s="71"/>
      <c r="N99" s="61"/>
      <c r="O99" s="61"/>
      <c r="P99" s="61"/>
      <c r="Q99" s="61"/>
      <c r="R99" s="61"/>
      <c r="S99" s="61"/>
      <c r="T99" s="61"/>
      <c r="U99" s="61"/>
      <c r="V99" s="61"/>
      <c r="W99" s="72"/>
    </row>
    <row r="100" spans="1:23" s="21" customFormat="1" ht="42" customHeight="1" x14ac:dyDescent="0.2">
      <c r="A100" s="26"/>
      <c r="B100" s="26"/>
      <c r="C100" s="26"/>
      <c r="D100" s="26"/>
      <c r="E100" s="26"/>
      <c r="F100" s="26"/>
      <c r="G100" s="26"/>
      <c r="H100" s="26"/>
      <c r="I100" s="26"/>
      <c r="J100" s="26"/>
      <c r="K100" s="26"/>
      <c r="L100" s="24"/>
      <c r="M100" s="71"/>
      <c r="N100" s="61"/>
      <c r="O100" s="61"/>
      <c r="P100" s="61"/>
      <c r="Q100" s="61"/>
      <c r="R100" s="61"/>
      <c r="S100" s="61"/>
      <c r="T100" s="61"/>
      <c r="U100" s="61"/>
      <c r="V100" s="61"/>
      <c r="W100" s="72"/>
    </row>
    <row r="101" spans="1:23" s="21" customFormat="1" ht="42" customHeight="1" x14ac:dyDescent="0.2">
      <c r="A101" s="26"/>
      <c r="B101" s="26"/>
      <c r="C101" s="26"/>
      <c r="D101" s="26"/>
      <c r="E101" s="26"/>
      <c r="F101" s="26"/>
      <c r="G101" s="26"/>
      <c r="H101" s="26"/>
      <c r="I101" s="26"/>
      <c r="J101" s="26"/>
      <c r="K101" s="26"/>
      <c r="L101" s="24"/>
      <c r="M101" s="71"/>
      <c r="N101" s="61"/>
      <c r="O101" s="61"/>
      <c r="P101" s="61"/>
      <c r="Q101" s="61"/>
      <c r="R101" s="61"/>
      <c r="S101" s="61"/>
      <c r="T101" s="61"/>
      <c r="U101" s="61"/>
      <c r="V101" s="61"/>
      <c r="W101" s="72"/>
    </row>
    <row r="102" spans="1:23" s="21" customFormat="1" ht="42" customHeight="1" x14ac:dyDescent="0.2">
      <c r="A102" s="26"/>
      <c r="B102" s="26"/>
      <c r="C102" s="26"/>
      <c r="D102" s="26"/>
      <c r="E102" s="26"/>
      <c r="F102" s="26"/>
      <c r="G102" s="26"/>
      <c r="H102" s="26"/>
      <c r="I102" s="26"/>
      <c r="J102" s="26"/>
      <c r="K102" s="26"/>
      <c r="L102" s="24"/>
      <c r="M102" s="71"/>
      <c r="N102" s="61"/>
      <c r="O102" s="61"/>
      <c r="P102" s="61"/>
      <c r="Q102" s="61"/>
      <c r="R102" s="61"/>
      <c r="S102" s="61"/>
      <c r="T102" s="61"/>
      <c r="U102" s="61"/>
      <c r="V102" s="61"/>
      <c r="W102" s="72"/>
    </row>
    <row r="103" spans="1:23" s="21" customFormat="1" ht="42" customHeight="1" x14ac:dyDescent="0.2">
      <c r="A103" s="26"/>
      <c r="B103" s="26"/>
      <c r="C103" s="26"/>
      <c r="D103" s="26"/>
      <c r="E103" s="26"/>
      <c r="F103" s="26"/>
      <c r="G103" s="26"/>
      <c r="H103" s="26"/>
      <c r="I103" s="26"/>
      <c r="J103" s="26"/>
      <c r="K103" s="26"/>
      <c r="L103" s="24"/>
      <c r="M103" s="73"/>
      <c r="N103" s="74"/>
      <c r="O103" s="74"/>
      <c r="P103" s="74"/>
      <c r="Q103" s="74"/>
      <c r="R103" s="74"/>
      <c r="S103" s="74"/>
      <c r="T103" s="74"/>
      <c r="U103" s="74"/>
      <c r="V103" s="74"/>
      <c r="W103" s="75"/>
    </row>
    <row r="104" spans="1:23" x14ac:dyDescent="0.2">
      <c r="A104" s="25">
        <v>1</v>
      </c>
      <c r="B104" s="25">
        <v>1</v>
      </c>
      <c r="C104" s="25">
        <v>1</v>
      </c>
      <c r="D104" s="25">
        <v>1</v>
      </c>
      <c r="E104" s="25">
        <v>1</v>
      </c>
      <c r="F104" s="25">
        <v>1</v>
      </c>
      <c r="G104" s="25">
        <v>1</v>
      </c>
      <c r="H104" s="25">
        <v>1</v>
      </c>
      <c r="I104" s="25">
        <v>1</v>
      </c>
      <c r="J104" s="25">
        <v>1</v>
      </c>
      <c r="K104" s="25">
        <v>1</v>
      </c>
      <c r="L104" s="25">
        <v>1</v>
      </c>
      <c r="M104" s="25">
        <v>1</v>
      </c>
      <c r="N104" s="25">
        <v>1</v>
      </c>
    </row>
    <row r="500" spans="27:60" x14ac:dyDescent="0.2">
      <c r="AA500" s="6" t="s">
        <v>1</v>
      </c>
      <c r="AC500" s="3" t="s">
        <v>2</v>
      </c>
      <c r="AD500" s="4" t="s">
        <v>3</v>
      </c>
      <c r="AF500" s="6" t="s">
        <v>4</v>
      </c>
      <c r="AH500" s="3" t="s">
        <v>5</v>
      </c>
      <c r="AJ500" s="6" t="s">
        <v>6</v>
      </c>
      <c r="AL500" s="3" t="s">
        <v>7</v>
      </c>
      <c r="AN500" s="6" t="s">
        <v>8</v>
      </c>
      <c r="AO500" s="6" t="s">
        <v>9</v>
      </c>
      <c r="AQ500" s="3" t="s">
        <v>10</v>
      </c>
      <c r="AR500" s="3" t="s">
        <v>11</v>
      </c>
      <c r="AT500" s="6" t="s">
        <v>12</v>
      </c>
      <c r="AV500" s="3" t="s">
        <v>13</v>
      </c>
      <c r="AW500" s="3" t="str">
        <f>IF(J12="Update", "Valid", "Invalid")</f>
        <v>Invalid</v>
      </c>
      <c r="AY500" s="6" t="s">
        <v>14</v>
      </c>
      <c r="AZ500" s="6"/>
      <c r="BA500" s="6"/>
      <c r="BB500" s="6"/>
      <c r="BC500" s="6"/>
      <c r="BD500" s="6"/>
      <c r="BE500" s="30"/>
      <c r="BF500" s="30"/>
      <c r="BG500" s="6" t="s">
        <v>12</v>
      </c>
    </row>
    <row r="501" spans="27:60" x14ac:dyDescent="0.2">
      <c r="AA501" s="7" t="s">
        <v>15</v>
      </c>
      <c r="AC501" s="5" t="s">
        <v>16</v>
      </c>
      <c r="AD501" s="5" t="s">
        <v>16</v>
      </c>
      <c r="AF501" s="7" t="s">
        <v>17</v>
      </c>
      <c r="AH501" s="8" t="s">
        <v>18</v>
      </c>
      <c r="AJ501" s="7" t="s">
        <v>19</v>
      </c>
      <c r="AL501" s="5" t="s">
        <v>20</v>
      </c>
      <c r="AN501" s="7" t="s">
        <v>21</v>
      </c>
      <c r="AO501" s="7"/>
      <c r="AQ501" s="9" t="s">
        <v>22</v>
      </c>
      <c r="AR501" s="9" t="s">
        <v>23</v>
      </c>
      <c r="AT501" s="7" t="s">
        <v>24</v>
      </c>
      <c r="AV501" s="5" t="s">
        <v>25</v>
      </c>
      <c r="AY501" s="7" t="s">
        <v>15</v>
      </c>
      <c r="AZ501" s="7" t="str" cm="1">
        <f t="array" ref="AZ501">IF($D$16="", "", _xlfn._xlws.FILTER($AY$501:$AY$506, ISNA(MATCH($AY$501:$AY$506, $D$16, 0)), ""))</f>
        <v/>
      </c>
      <c r="BA501" s="7" t="str" cm="1">
        <f t="array" ref="BA501">IF($E$16="", "", _xlfn._xlws.FILTER($AY$501:$AY$506, ISNA(MATCH($AY$501:$AY$506, $D$16:$E$16, 0)), ""))</f>
        <v/>
      </c>
      <c r="BB501" s="7" t="str" cm="1">
        <f t="array" ref="BB501">IF($F$16="", "", _xlfn._xlws.FILTER($AY$501:$AY$506, ISNA(MATCH($AY$501:$AY$506, $D$16:$F$16, 0)), ""))</f>
        <v/>
      </c>
      <c r="BC501" s="7" t="str" cm="1">
        <f t="array" ref="BC501">IF($G$16="", "", _xlfn._xlws.FILTER($AY$501:$AY$506, ISNA(MATCH($AY$501:$AY$506, $D$16:$G$16, 0)), ""))</f>
        <v/>
      </c>
      <c r="BD501" s="7" t="str" cm="1">
        <f t="array" ref="BD501">IF($H$16="", "", _xlfn._xlws.FILTER($AY$501:$AY$506, ISNA(MATCH($AY$501:$AY$506, $D$16:$H$16, 0)), ""))</f>
        <v/>
      </c>
      <c r="BG501" s="7" t="s">
        <v>27</v>
      </c>
    </row>
    <row r="502" spans="27:60" x14ac:dyDescent="0.2">
      <c r="AA502" s="7" t="s">
        <v>20</v>
      </c>
      <c r="AC502" s="5" t="s">
        <v>28</v>
      </c>
      <c r="AD502" s="5" t="s">
        <v>28</v>
      </c>
      <c r="AF502" s="7" t="s">
        <v>29</v>
      </c>
      <c r="AH502" s="8" t="s">
        <v>30</v>
      </c>
      <c r="AJ502" s="7" t="s">
        <v>31</v>
      </c>
      <c r="AL502" s="5" t="s">
        <v>32</v>
      </c>
      <c r="AN502" s="7" t="s">
        <v>33</v>
      </c>
      <c r="AO502" s="7" t="s">
        <v>34</v>
      </c>
      <c r="AQ502" s="9" t="s">
        <v>22</v>
      </c>
      <c r="AR502" s="9" t="s">
        <v>35</v>
      </c>
      <c r="AT502" s="7" t="s">
        <v>36</v>
      </c>
      <c r="AV502" s="5" t="s">
        <v>37</v>
      </c>
      <c r="AY502" s="7" t="s">
        <v>20</v>
      </c>
      <c r="AZ502" s="7"/>
      <c r="BA502" s="7"/>
      <c r="BB502" s="7"/>
      <c r="BC502" s="7"/>
      <c r="BD502" s="7"/>
      <c r="BG502" s="7" t="s">
        <v>38</v>
      </c>
      <c r="BH502" s="7"/>
    </row>
    <row r="503" spans="27:60" x14ac:dyDescent="0.2">
      <c r="AA503" s="7" t="s">
        <v>39</v>
      </c>
      <c r="AC503" s="5" t="s">
        <v>40</v>
      </c>
      <c r="AD503" s="5" t="s">
        <v>40</v>
      </c>
      <c r="AF503" s="7" t="s">
        <v>41</v>
      </c>
      <c r="AH503" s="8" t="s">
        <v>42</v>
      </c>
      <c r="AJ503" s="7" t="s">
        <v>43</v>
      </c>
      <c r="AL503" s="5" t="s">
        <v>44</v>
      </c>
      <c r="AN503" s="7" t="s">
        <v>676</v>
      </c>
      <c r="AO503" s="7" t="s">
        <v>677</v>
      </c>
      <c r="AQ503" s="9" t="s">
        <v>22</v>
      </c>
      <c r="AR503" s="9" t="s">
        <v>47</v>
      </c>
      <c r="AT503" s="7" t="s">
        <v>48</v>
      </c>
      <c r="AV503" s="5" t="s">
        <v>49</v>
      </c>
      <c r="AY503" s="7" t="s">
        <v>70</v>
      </c>
      <c r="AZ503" s="7"/>
      <c r="BA503" s="7"/>
      <c r="BB503" s="7"/>
      <c r="BC503" s="7"/>
      <c r="BD503" s="7"/>
      <c r="BG503" s="7" t="s">
        <v>50</v>
      </c>
    </row>
    <row r="504" spans="27:60" x14ac:dyDescent="0.2">
      <c r="AA504" s="7" t="s">
        <v>44</v>
      </c>
      <c r="AC504" s="5" t="s">
        <v>51</v>
      </c>
      <c r="AD504" s="5" t="s">
        <v>51</v>
      </c>
      <c r="AF504" s="7" t="s">
        <v>52</v>
      </c>
      <c r="AJ504" s="7" t="s">
        <v>53</v>
      </c>
      <c r="AL504" s="5" t="s">
        <v>188</v>
      </c>
      <c r="AN504" s="7" t="s">
        <v>45</v>
      </c>
      <c r="AO504" s="7" t="s">
        <v>46</v>
      </c>
      <c r="AQ504" s="9" t="s">
        <v>20</v>
      </c>
      <c r="AR504" s="9" t="s">
        <v>57</v>
      </c>
      <c r="AT504" s="7" t="s">
        <v>58</v>
      </c>
      <c r="AY504" s="7" t="s">
        <v>656</v>
      </c>
      <c r="AZ504" s="7"/>
      <c r="BA504" s="7"/>
      <c r="BB504" s="7"/>
      <c r="BC504" s="7"/>
      <c r="BD504" s="7"/>
      <c r="BG504" s="7" t="s">
        <v>59</v>
      </c>
    </row>
    <row r="505" spans="27:60" x14ac:dyDescent="0.2">
      <c r="AA505" s="17" t="s">
        <v>656</v>
      </c>
      <c r="AB505" s="16"/>
      <c r="AC505" s="5" t="s">
        <v>61</v>
      </c>
      <c r="AD505" s="5" t="s">
        <v>61</v>
      </c>
      <c r="AF505" s="17" t="s">
        <v>62</v>
      </c>
      <c r="AG505" s="16"/>
      <c r="AH505" s="16"/>
      <c r="AI505" s="16"/>
      <c r="AJ505" s="17" t="s">
        <v>63</v>
      </c>
      <c r="AK505" s="16"/>
      <c r="AL505" s="18" t="s">
        <v>54</v>
      </c>
      <c r="AM505" s="16"/>
      <c r="AN505" s="17" t="s">
        <v>55</v>
      </c>
      <c r="AO505" s="17" t="s">
        <v>56</v>
      </c>
      <c r="AP505" s="16"/>
      <c r="AQ505" s="19" t="s">
        <v>20</v>
      </c>
      <c r="AR505" s="19" t="s">
        <v>67</v>
      </c>
      <c r="AS505" s="16"/>
      <c r="AT505" s="17" t="s">
        <v>68</v>
      </c>
      <c r="AU505" s="16"/>
      <c r="AV505" s="16"/>
      <c r="AW505" s="16"/>
      <c r="AX505" s="16"/>
      <c r="AY505" s="17" t="s">
        <v>89</v>
      </c>
      <c r="AZ505" s="17"/>
      <c r="BA505" s="17"/>
      <c r="BB505" s="17"/>
      <c r="BC505" s="17"/>
      <c r="BD505" s="17"/>
      <c r="BE505" s="16"/>
      <c r="BF505" s="16"/>
      <c r="BG505" s="17" t="s">
        <v>69</v>
      </c>
    </row>
    <row r="506" spans="27:60" x14ac:dyDescent="0.2">
      <c r="AA506" s="17" t="s">
        <v>70</v>
      </c>
      <c r="AB506" s="16"/>
      <c r="AC506" s="18" t="s">
        <v>71</v>
      </c>
      <c r="AD506" s="18" t="s">
        <v>71</v>
      </c>
      <c r="AF506" s="17" t="s">
        <v>72</v>
      </c>
      <c r="AG506" s="16"/>
      <c r="AH506" s="16"/>
      <c r="AI506" s="16"/>
      <c r="AJ506" s="17" t="s">
        <v>73</v>
      </c>
      <c r="AK506" s="16"/>
      <c r="AL506" s="18" t="s">
        <v>64</v>
      </c>
      <c r="AM506" s="16"/>
      <c r="AN506" s="17" t="s">
        <v>65</v>
      </c>
      <c r="AO506" s="17" t="s">
        <v>66</v>
      </c>
      <c r="AP506" s="16"/>
      <c r="AQ506" s="19" t="s">
        <v>20</v>
      </c>
      <c r="AR506" s="19" t="s">
        <v>77</v>
      </c>
      <c r="AS506" s="16"/>
      <c r="AT506" s="17" t="s">
        <v>78</v>
      </c>
      <c r="AU506" s="16"/>
      <c r="AV506" s="16"/>
      <c r="AW506" s="16"/>
      <c r="AX506" s="16"/>
      <c r="AY506" s="17" t="s">
        <v>96</v>
      </c>
      <c r="AZ506" s="17"/>
      <c r="BA506" s="17"/>
      <c r="BB506" s="17"/>
      <c r="BC506" s="17"/>
      <c r="BD506" s="17"/>
      <c r="BE506" s="16"/>
      <c r="BF506" s="16"/>
      <c r="BG506" s="17" t="s">
        <v>79</v>
      </c>
    </row>
    <row r="507" spans="27:60" x14ac:dyDescent="0.2">
      <c r="AA507" s="17" t="s">
        <v>81</v>
      </c>
      <c r="AB507" s="16"/>
      <c r="AC507" s="5" t="s">
        <v>82</v>
      </c>
      <c r="AD507" s="5" t="s">
        <v>82</v>
      </c>
      <c r="AF507" s="17" t="s">
        <v>83</v>
      </c>
      <c r="AG507" s="16"/>
      <c r="AH507" s="16"/>
      <c r="AI507" s="16"/>
      <c r="AJ507" s="17" t="s">
        <v>84</v>
      </c>
      <c r="AK507" s="16"/>
      <c r="AL507" s="18" t="s">
        <v>74</v>
      </c>
      <c r="AM507" s="16"/>
      <c r="AN507" s="17" t="s">
        <v>75</v>
      </c>
      <c r="AO507" s="17" t="s">
        <v>76</v>
      </c>
      <c r="AP507" s="16"/>
      <c r="AQ507" s="19" t="s">
        <v>20</v>
      </c>
      <c r="AR507" s="19" t="s">
        <v>88</v>
      </c>
      <c r="AS507" s="16"/>
      <c r="AT507" s="17" t="s">
        <v>26</v>
      </c>
      <c r="AU507" s="16"/>
      <c r="AV507" s="16"/>
      <c r="AW507" s="16"/>
      <c r="AX507" s="16"/>
      <c r="AY507" s="16"/>
      <c r="AZ507" s="16"/>
      <c r="BA507" s="16"/>
      <c r="BB507" s="16"/>
      <c r="BC507" s="16"/>
      <c r="BD507" s="16"/>
      <c r="BE507" s="16"/>
      <c r="BF507" s="16"/>
      <c r="BG507" s="16"/>
    </row>
    <row r="508" spans="27:60" x14ac:dyDescent="0.2">
      <c r="AA508" s="17" t="s">
        <v>89</v>
      </c>
      <c r="AB508" s="16"/>
      <c r="AC508" s="18" t="s">
        <v>90</v>
      </c>
      <c r="AD508" s="18" t="s">
        <v>90</v>
      </c>
      <c r="AF508" s="17" t="s">
        <v>91</v>
      </c>
      <c r="AG508" s="16"/>
      <c r="AH508" s="16"/>
      <c r="AI508" s="16"/>
      <c r="AJ508" s="17" t="s">
        <v>92</v>
      </c>
      <c r="AK508" s="16"/>
      <c r="AL508" s="18" t="s">
        <v>213</v>
      </c>
      <c r="AM508" s="16"/>
      <c r="AN508" s="17" t="s">
        <v>86</v>
      </c>
      <c r="AO508" s="17" t="s">
        <v>87</v>
      </c>
      <c r="AP508" s="16"/>
      <c r="AQ508" s="19" t="s">
        <v>20</v>
      </c>
      <c r="AR508" s="19" t="s">
        <v>94</v>
      </c>
      <c r="AS508" s="16"/>
      <c r="AT508" s="17"/>
      <c r="AU508" s="16"/>
      <c r="AV508" s="16"/>
      <c r="AW508" s="16"/>
      <c r="AX508" s="16"/>
      <c r="AY508" s="16"/>
      <c r="AZ508" s="16"/>
      <c r="BA508" s="16"/>
      <c r="BB508" s="16"/>
      <c r="BC508" s="16"/>
      <c r="BD508" s="16"/>
      <c r="BE508" s="16"/>
      <c r="BF508" s="16"/>
      <c r="BG508" s="16"/>
    </row>
    <row r="509" spans="27:60" x14ac:dyDescent="0.2">
      <c r="AA509" s="17" t="s">
        <v>96</v>
      </c>
      <c r="AB509" s="16"/>
      <c r="AC509" s="18" t="s">
        <v>97</v>
      </c>
      <c r="AD509" s="18" t="s">
        <v>97</v>
      </c>
      <c r="AF509" s="17" t="s">
        <v>98</v>
      </c>
      <c r="AG509" s="16"/>
      <c r="AH509" s="16"/>
      <c r="AI509" s="16"/>
      <c r="AJ509" s="17" t="s">
        <v>99</v>
      </c>
      <c r="AK509" s="16"/>
      <c r="AL509" s="18" t="s">
        <v>85</v>
      </c>
      <c r="AM509" s="16"/>
      <c r="AN509" s="16"/>
      <c r="AO509" s="16"/>
      <c r="AP509" s="16"/>
      <c r="AQ509" s="19" t="s">
        <v>20</v>
      </c>
      <c r="AR509" s="19" t="s">
        <v>93</v>
      </c>
      <c r="AS509" s="16"/>
      <c r="AT509" s="17"/>
      <c r="AU509" s="16"/>
      <c r="AV509" s="16"/>
      <c r="AW509" s="16"/>
      <c r="AX509" s="16"/>
      <c r="AY509" s="16"/>
      <c r="AZ509" s="16"/>
      <c r="BA509" s="16"/>
      <c r="BB509" s="16"/>
      <c r="BC509" s="16"/>
      <c r="BD509" s="16"/>
      <c r="BE509" s="16"/>
      <c r="BF509" s="16"/>
      <c r="BG509" s="16"/>
    </row>
    <row r="510" spans="27:60" x14ac:dyDescent="0.2">
      <c r="AA510" s="17" t="s">
        <v>100</v>
      </c>
      <c r="AB510" s="16"/>
      <c r="AC510" s="18" t="s">
        <v>657</v>
      </c>
      <c r="AD510" s="18" t="s">
        <v>657</v>
      </c>
      <c r="AF510" s="17" t="s">
        <v>63</v>
      </c>
      <c r="AG510" s="16"/>
      <c r="AH510" s="16"/>
      <c r="AI510" s="16"/>
      <c r="AJ510" s="17" t="s">
        <v>41</v>
      </c>
      <c r="AK510" s="16"/>
      <c r="AL510" s="18" t="s">
        <v>93</v>
      </c>
      <c r="AM510" s="16"/>
      <c r="AN510" s="16"/>
      <c r="AO510" s="16"/>
      <c r="AP510" s="16"/>
      <c r="AQ510" s="19" t="s">
        <v>20</v>
      </c>
      <c r="AR510" s="19" t="s">
        <v>103</v>
      </c>
      <c r="AS510" s="16"/>
      <c r="AT510" s="17"/>
      <c r="AU510" s="16"/>
      <c r="AV510" s="16"/>
      <c r="AW510" s="16"/>
      <c r="AX510" s="16"/>
      <c r="AY510" s="16"/>
      <c r="AZ510" s="16"/>
      <c r="BA510" s="16"/>
      <c r="BB510" s="16"/>
      <c r="BC510" s="16"/>
      <c r="BD510" s="16"/>
      <c r="BE510" s="16"/>
      <c r="BF510" s="16"/>
      <c r="BG510" s="16"/>
    </row>
    <row r="511" spans="27:60" x14ac:dyDescent="0.2">
      <c r="AA511" s="17" t="s">
        <v>109</v>
      </c>
      <c r="AB511" s="16"/>
      <c r="AC511" s="18" t="s">
        <v>101</v>
      </c>
      <c r="AD511" s="18" t="s">
        <v>101</v>
      </c>
      <c r="AF511" s="17" t="s">
        <v>73</v>
      </c>
      <c r="AG511" s="16"/>
      <c r="AH511" s="16"/>
      <c r="AI511" s="16"/>
      <c r="AJ511" s="17" t="s">
        <v>112</v>
      </c>
      <c r="AK511" s="16"/>
      <c r="AL511" s="18" t="s">
        <v>89</v>
      </c>
      <c r="AM511" s="16"/>
      <c r="AN511" s="16"/>
      <c r="AO511" s="16"/>
      <c r="AP511" s="16"/>
      <c r="AQ511" s="19" t="s">
        <v>20</v>
      </c>
      <c r="AR511" s="19" t="s">
        <v>113</v>
      </c>
      <c r="AS511" s="16"/>
      <c r="AT511" s="17"/>
      <c r="AU511" s="16"/>
      <c r="AV511" s="16"/>
      <c r="AW511" s="16"/>
      <c r="AX511" s="16"/>
      <c r="AY511" s="16"/>
      <c r="AZ511" s="21"/>
      <c r="BA511" s="16"/>
      <c r="BB511" s="16"/>
      <c r="BC511" s="16"/>
      <c r="BD511" s="16"/>
      <c r="BE511" s="16"/>
      <c r="BF511" s="16"/>
      <c r="BG511" s="16"/>
    </row>
    <row r="512" spans="27:60" x14ac:dyDescent="0.2">
      <c r="AA512" s="16"/>
      <c r="AB512" s="16"/>
      <c r="AC512" s="18" t="s">
        <v>110</v>
      </c>
      <c r="AD512" s="18" t="s">
        <v>111</v>
      </c>
      <c r="AF512" s="17" t="s">
        <v>84</v>
      </c>
      <c r="AG512" s="16"/>
      <c r="AH512" s="16"/>
      <c r="AI512" s="16"/>
      <c r="AJ512" s="16"/>
      <c r="AK512" s="16"/>
      <c r="AL512" s="18" t="s">
        <v>96</v>
      </c>
      <c r="AM512" s="16"/>
      <c r="AN512" s="16"/>
      <c r="AO512" s="16"/>
      <c r="AP512" s="16"/>
      <c r="AQ512" s="19" t="s">
        <v>115</v>
      </c>
      <c r="AR512" s="19" t="s">
        <v>116</v>
      </c>
      <c r="AS512" s="16"/>
      <c r="AT512" s="17"/>
      <c r="AU512" s="16"/>
      <c r="AV512" s="16"/>
      <c r="AW512" s="16"/>
      <c r="AX512" s="16"/>
      <c r="AY512" s="16"/>
      <c r="AZ512" s="16"/>
      <c r="BA512" s="16"/>
      <c r="BB512" s="16"/>
      <c r="BC512" s="16"/>
      <c r="BD512" s="16"/>
      <c r="BE512" s="16"/>
      <c r="BF512" s="16"/>
      <c r="BG512" s="16"/>
    </row>
    <row r="513" spans="27:59" x14ac:dyDescent="0.2">
      <c r="AA513" s="16"/>
      <c r="AB513" s="16"/>
      <c r="AC513" s="18" t="s">
        <v>114</v>
      </c>
      <c r="AD513" s="18" t="s">
        <v>114</v>
      </c>
      <c r="AF513" s="17" t="s">
        <v>124</v>
      </c>
      <c r="AG513" s="16"/>
      <c r="AH513" s="16"/>
      <c r="AI513" s="16"/>
      <c r="AJ513" s="16"/>
      <c r="AK513" s="16"/>
      <c r="AL513" s="18" t="s">
        <v>257</v>
      </c>
      <c r="AM513" s="16"/>
      <c r="AN513" s="16"/>
      <c r="AO513" s="16"/>
      <c r="AP513" s="16"/>
      <c r="AQ513" s="19" t="s">
        <v>115</v>
      </c>
      <c r="AR513" s="19" t="s">
        <v>125</v>
      </c>
      <c r="AS513" s="16"/>
      <c r="AT513" s="16"/>
      <c r="AU513" s="16"/>
      <c r="AV513" s="16"/>
      <c r="AW513" s="16"/>
      <c r="AX513" s="16"/>
      <c r="AY513" s="16"/>
      <c r="AZ513" s="16"/>
      <c r="BA513" s="16"/>
      <c r="BB513" s="16"/>
      <c r="BC513" s="16"/>
      <c r="BD513" s="16"/>
      <c r="BE513" s="16"/>
      <c r="BF513" s="16"/>
      <c r="BG513" s="16"/>
    </row>
    <row r="514" spans="27:59" x14ac:dyDescent="0.2">
      <c r="AA514" s="53" t="str">
        <f>IFERROR(IF($A$11="TL1",$B$11,VLOOKUP($B$10,$AC$501:$AD$959,2,0)),"")</f>
        <v>Cloud Calling</v>
      </c>
      <c r="AB514" s="16"/>
      <c r="AC514" s="18" t="s">
        <v>123</v>
      </c>
      <c r="AD514" s="18" t="s">
        <v>123</v>
      </c>
      <c r="AF514" s="17" t="s">
        <v>127</v>
      </c>
      <c r="AG514" s="16"/>
      <c r="AH514" s="16"/>
      <c r="AI514" s="16"/>
      <c r="AJ514" s="16"/>
      <c r="AK514" s="16"/>
      <c r="AL514" s="18" t="s">
        <v>112</v>
      </c>
      <c r="AM514" s="16"/>
      <c r="AN514" s="16"/>
      <c r="AO514" s="16"/>
      <c r="AP514" s="16"/>
      <c r="AQ514" s="19" t="s">
        <v>115</v>
      </c>
      <c r="AR514" s="19" t="s">
        <v>128</v>
      </c>
      <c r="AS514" s="16"/>
      <c r="AT514" s="16"/>
      <c r="AU514" s="16"/>
      <c r="AV514" s="16"/>
      <c r="AW514" s="16"/>
      <c r="AX514" s="16"/>
      <c r="AY514" s="16"/>
      <c r="AZ514" s="16"/>
      <c r="BA514" s="16"/>
      <c r="BB514" s="16"/>
      <c r="BC514" s="16"/>
      <c r="BD514" s="16"/>
      <c r="BE514" s="16"/>
      <c r="BF514" s="16"/>
      <c r="BG514" s="16"/>
    </row>
    <row r="515" spans="27:59" x14ac:dyDescent="0.2">
      <c r="AA515" s="53" t="str">
        <f>IFERROR(IF($A$11="TL1",$D$11,$D$10),"")</f>
        <v>Deployment</v>
      </c>
      <c r="AB515" s="16"/>
      <c r="AC515" s="18" t="s">
        <v>126</v>
      </c>
      <c r="AD515" s="18" t="s">
        <v>126</v>
      </c>
      <c r="AF515" s="17" t="s">
        <v>358</v>
      </c>
      <c r="AG515" s="16"/>
      <c r="AH515" s="16"/>
      <c r="AI515" s="16"/>
      <c r="AJ515" s="16"/>
      <c r="AK515" s="16"/>
      <c r="AL515" s="16"/>
      <c r="AM515" s="16"/>
      <c r="AN515" s="16"/>
      <c r="AO515" s="16"/>
      <c r="AP515" s="16"/>
      <c r="AQ515" s="19" t="s">
        <v>115</v>
      </c>
      <c r="AR515" s="19" t="s">
        <v>132</v>
      </c>
      <c r="AS515" s="16"/>
      <c r="AT515" s="16"/>
      <c r="AU515" s="16"/>
      <c r="AV515" s="16"/>
      <c r="AW515" s="16"/>
      <c r="AX515" s="16"/>
      <c r="AY515" s="16"/>
      <c r="AZ515" s="16"/>
      <c r="BA515" s="16"/>
      <c r="BB515" s="16"/>
      <c r="BC515" s="16"/>
      <c r="BD515" s="16"/>
      <c r="BE515" s="16"/>
      <c r="BF515" s="16"/>
      <c r="BG515" s="16"/>
    </row>
    <row r="516" spans="27:59" x14ac:dyDescent="0.2">
      <c r="AA516" s="53" t="str">
        <f>IFERROR(IF($A$11="TL1",$F$11,""),"")</f>
        <v/>
      </c>
      <c r="AB516" s="16"/>
      <c r="AC516" s="18" t="s">
        <v>130</v>
      </c>
      <c r="AD516" s="18" t="s">
        <v>130</v>
      </c>
      <c r="AF516" s="17" t="s">
        <v>131</v>
      </c>
      <c r="AG516" s="16"/>
      <c r="AH516" s="16"/>
      <c r="AI516" s="16"/>
      <c r="AJ516" s="16"/>
      <c r="AK516" s="16"/>
      <c r="AL516" s="16"/>
      <c r="AM516" s="16"/>
      <c r="AN516" s="16"/>
      <c r="AO516" s="16"/>
      <c r="AP516" s="16"/>
      <c r="AQ516" s="19" t="s">
        <v>115</v>
      </c>
      <c r="AR516" s="19" t="s">
        <v>135</v>
      </c>
      <c r="AS516" s="16"/>
      <c r="AT516" s="16"/>
      <c r="AU516" s="16"/>
      <c r="AV516" s="16"/>
      <c r="AW516" s="16"/>
      <c r="AX516" s="16"/>
      <c r="AY516" s="16"/>
      <c r="AZ516" s="16"/>
      <c r="BA516" s="16"/>
      <c r="BB516" s="16"/>
      <c r="BC516" s="16"/>
      <c r="BD516" s="16"/>
      <c r="BE516" s="16"/>
      <c r="BF516" s="16"/>
      <c r="BG516" s="16"/>
    </row>
    <row r="517" spans="27:59" x14ac:dyDescent="0.2">
      <c r="AA517" s="16"/>
      <c r="AB517" s="16"/>
      <c r="AC517" s="18" t="s">
        <v>133</v>
      </c>
      <c r="AD517" s="18" t="s">
        <v>133</v>
      </c>
      <c r="AF517" s="17" t="s">
        <v>134</v>
      </c>
      <c r="AG517" s="16"/>
      <c r="AH517" s="16"/>
      <c r="AI517" s="16"/>
      <c r="AJ517" s="16"/>
      <c r="AK517" s="16"/>
      <c r="AL517" s="16"/>
      <c r="AM517" s="16"/>
      <c r="AN517" s="16"/>
      <c r="AO517" s="16"/>
      <c r="AP517" s="16"/>
      <c r="AQ517" s="19" t="s">
        <v>115</v>
      </c>
      <c r="AR517" s="19" t="s">
        <v>138</v>
      </c>
      <c r="AS517" s="16"/>
      <c r="AT517" s="16"/>
      <c r="AU517" s="16"/>
      <c r="AV517" s="16"/>
      <c r="AW517" s="16"/>
      <c r="AX517" s="16"/>
      <c r="AY517" s="16"/>
      <c r="AZ517" s="16"/>
      <c r="BA517" s="16"/>
      <c r="BB517" s="16"/>
      <c r="BC517" s="16"/>
      <c r="BD517" s="16"/>
      <c r="BE517" s="16"/>
      <c r="BF517" s="16"/>
      <c r="BG517" s="16"/>
    </row>
    <row r="518" spans="27:59" x14ac:dyDescent="0.2">
      <c r="AA518" s="52" t="str">
        <f>IF($AA$514=0,"",AA514)</f>
        <v>Cloud Calling</v>
      </c>
      <c r="AB518" s="16"/>
      <c r="AC518" s="18" t="s">
        <v>136</v>
      </c>
      <c r="AD518" s="18" t="s">
        <v>136</v>
      </c>
      <c r="AF518" s="17" t="s">
        <v>137</v>
      </c>
      <c r="AG518" s="16"/>
      <c r="AH518" s="16"/>
      <c r="AI518" s="16"/>
      <c r="AJ518" s="16"/>
      <c r="AK518" s="16"/>
      <c r="AL518" s="16"/>
      <c r="AM518" s="16"/>
      <c r="AN518" s="16"/>
      <c r="AO518" s="16"/>
      <c r="AP518" s="16"/>
      <c r="AQ518" s="19" t="s">
        <v>115</v>
      </c>
      <c r="AR518" s="19" t="s">
        <v>150</v>
      </c>
      <c r="AS518" s="16"/>
      <c r="AT518" s="16"/>
      <c r="AU518" s="16"/>
      <c r="AV518" s="16"/>
      <c r="AW518" s="16"/>
      <c r="AX518" s="16"/>
      <c r="AY518" s="16"/>
      <c r="AZ518" s="16"/>
      <c r="BA518" s="16"/>
      <c r="BB518" s="16"/>
      <c r="BC518" s="16"/>
      <c r="BD518" s="16"/>
      <c r="BE518" s="16"/>
      <c r="BF518" s="16"/>
      <c r="BG518" s="16"/>
    </row>
    <row r="519" spans="27:59" x14ac:dyDescent="0.2">
      <c r="AA519" s="52" t="str">
        <f>IF($AA$515=0,"",$AA$515)</f>
        <v>Deployment</v>
      </c>
      <c r="AB519" s="16"/>
      <c r="AC519" s="18" t="s">
        <v>148</v>
      </c>
      <c r="AD519" s="18" t="s">
        <v>148</v>
      </c>
      <c r="AF519" s="17" t="s">
        <v>149</v>
      </c>
      <c r="AG519" s="16"/>
      <c r="AH519" s="16"/>
      <c r="AI519" s="16"/>
      <c r="AJ519" s="16"/>
      <c r="AK519" s="16"/>
      <c r="AL519" s="16"/>
      <c r="AM519" s="16"/>
      <c r="AN519" s="16"/>
      <c r="AO519" s="16"/>
      <c r="AP519" s="16"/>
      <c r="AQ519" s="19" t="s">
        <v>115</v>
      </c>
      <c r="AR519" s="19" t="s">
        <v>152</v>
      </c>
      <c r="AS519" s="16"/>
      <c r="AT519" s="16"/>
      <c r="AU519" s="16"/>
      <c r="AV519" s="16"/>
      <c r="AW519" s="16"/>
      <c r="AX519" s="16"/>
      <c r="AY519" s="16"/>
      <c r="AZ519" s="16"/>
      <c r="BA519" s="16"/>
      <c r="BB519" s="16"/>
      <c r="BC519" s="16"/>
      <c r="BD519" s="16"/>
      <c r="BE519" s="16"/>
      <c r="BF519" s="16"/>
      <c r="BG519" s="16"/>
    </row>
    <row r="520" spans="27:59" x14ac:dyDescent="0.2">
      <c r="AA520" s="52" t="str">
        <f>IF($AA$516=0,"",$AA$516)</f>
        <v/>
      </c>
      <c r="AB520" s="16"/>
      <c r="AC520" s="18" t="s">
        <v>151</v>
      </c>
      <c r="AD520" s="18" t="s">
        <v>151</v>
      </c>
      <c r="AF520" s="16"/>
      <c r="AG520" s="16"/>
      <c r="AH520" s="16"/>
      <c r="AI520" s="16"/>
      <c r="AJ520" s="16"/>
      <c r="AK520" s="16"/>
      <c r="AL520" s="16"/>
      <c r="AM520" s="16"/>
      <c r="AN520" s="16"/>
      <c r="AO520" s="16"/>
      <c r="AP520" s="16"/>
      <c r="AQ520" s="19" t="s">
        <v>115</v>
      </c>
      <c r="AR520" s="19" t="s">
        <v>154</v>
      </c>
      <c r="AS520" s="16"/>
      <c r="AT520" s="16"/>
      <c r="AU520" s="16"/>
      <c r="AV520" s="16"/>
      <c r="AW520" s="16"/>
      <c r="AX520" s="16"/>
      <c r="AY520" s="16"/>
      <c r="AZ520" s="16"/>
      <c r="BA520" s="16"/>
      <c r="BB520" s="16"/>
      <c r="BC520" s="16"/>
      <c r="BD520" s="16"/>
      <c r="BE520" s="16"/>
      <c r="BF520" s="16"/>
      <c r="BG520" s="16"/>
    </row>
    <row r="521" spans="27:59" x14ac:dyDescent="0.2">
      <c r="AA521" s="16"/>
      <c r="AB521" s="16"/>
      <c r="AC521" s="18" t="s">
        <v>153</v>
      </c>
      <c r="AD521" s="18" t="s">
        <v>153</v>
      </c>
      <c r="AF521" s="16"/>
      <c r="AG521" s="16"/>
      <c r="AH521" s="16"/>
      <c r="AI521" s="16"/>
      <c r="AJ521" s="16"/>
      <c r="AK521" s="16"/>
      <c r="AL521" s="16"/>
      <c r="AM521" s="16"/>
      <c r="AN521" s="16"/>
      <c r="AO521" s="16"/>
      <c r="AP521" s="16"/>
      <c r="AQ521" s="19" t="s">
        <v>115</v>
      </c>
      <c r="AR521" s="19" t="s">
        <v>156</v>
      </c>
      <c r="AS521" s="16"/>
      <c r="AT521" s="16"/>
      <c r="AU521" s="16"/>
      <c r="AV521" s="16"/>
      <c r="AW521" s="16"/>
      <c r="AX521" s="16"/>
      <c r="AY521" s="16"/>
      <c r="AZ521" s="16"/>
      <c r="BA521" s="16"/>
      <c r="BB521" s="16"/>
      <c r="BC521" s="16"/>
      <c r="BD521" s="16"/>
      <c r="BE521" s="16"/>
      <c r="BF521" s="16"/>
      <c r="BG521" s="16"/>
    </row>
    <row r="522" spans="27:59" x14ac:dyDescent="0.2">
      <c r="AA522" s="16"/>
      <c r="AB522" s="16"/>
      <c r="AC522" s="18" t="s">
        <v>155</v>
      </c>
      <c r="AD522" s="18" t="s">
        <v>155</v>
      </c>
      <c r="AF522" s="16"/>
      <c r="AG522" s="16"/>
      <c r="AH522" s="16"/>
      <c r="AI522" s="16"/>
      <c r="AJ522" s="16"/>
      <c r="AK522" s="16"/>
      <c r="AL522" s="16"/>
      <c r="AM522" s="16"/>
      <c r="AN522" s="16"/>
      <c r="AO522" s="16"/>
      <c r="AP522" s="16"/>
      <c r="AQ522" s="19" t="s">
        <v>158</v>
      </c>
      <c r="AR522" s="19" t="s">
        <v>159</v>
      </c>
      <c r="AS522" s="16"/>
      <c r="AT522" s="16"/>
      <c r="AU522" s="16"/>
      <c r="AV522" s="16"/>
      <c r="AW522" s="16"/>
      <c r="AX522" s="16"/>
      <c r="AY522" s="16"/>
      <c r="AZ522" s="16"/>
      <c r="BA522" s="16"/>
      <c r="BB522" s="16"/>
      <c r="BC522" s="16"/>
      <c r="BD522" s="16"/>
      <c r="BE522" s="16"/>
      <c r="BF522" s="16"/>
      <c r="BG522" s="16"/>
    </row>
    <row r="523" spans="27:59" x14ac:dyDescent="0.2">
      <c r="AA523" s="16"/>
      <c r="AB523" s="16"/>
      <c r="AC523" s="18" t="s">
        <v>157</v>
      </c>
      <c r="AD523" s="18" t="s">
        <v>157</v>
      </c>
      <c r="AF523" s="16"/>
      <c r="AG523" s="16"/>
      <c r="AH523" s="16"/>
      <c r="AI523" s="16"/>
      <c r="AJ523" s="16"/>
      <c r="AK523" s="16"/>
      <c r="AL523" s="16"/>
      <c r="AM523" s="16"/>
      <c r="AN523" s="16"/>
      <c r="AO523" s="16"/>
      <c r="AP523" s="16"/>
      <c r="AQ523" s="19" t="s">
        <v>158</v>
      </c>
      <c r="AR523" s="19" t="s">
        <v>161</v>
      </c>
      <c r="AS523" s="16"/>
      <c r="AT523" s="16"/>
      <c r="AU523" s="16"/>
      <c r="AV523" s="16"/>
      <c r="AW523" s="16"/>
      <c r="AX523" s="16"/>
      <c r="AY523" s="16"/>
      <c r="AZ523" s="16"/>
      <c r="BA523" s="16"/>
      <c r="BB523" s="16"/>
      <c r="BC523" s="16"/>
      <c r="BD523" s="16"/>
      <c r="BE523" s="16"/>
      <c r="BF523" s="16"/>
      <c r="BG523" s="16"/>
    </row>
    <row r="524" spans="27:59" x14ac:dyDescent="0.2">
      <c r="AA524" s="16"/>
      <c r="AB524" s="16"/>
      <c r="AC524" s="18" t="s">
        <v>160</v>
      </c>
      <c r="AD524" s="18" t="s">
        <v>160</v>
      </c>
      <c r="AF524" s="16"/>
      <c r="AG524" s="16"/>
      <c r="AH524" s="16"/>
      <c r="AI524" s="16"/>
      <c r="AJ524" s="16"/>
      <c r="AK524" s="16"/>
      <c r="AL524" s="16"/>
      <c r="AM524" s="16"/>
      <c r="AN524" s="16"/>
      <c r="AO524" s="16"/>
      <c r="AP524" s="16"/>
      <c r="AQ524" s="19" t="s">
        <v>158</v>
      </c>
      <c r="AR524" s="19" t="s">
        <v>163</v>
      </c>
      <c r="AS524" s="16"/>
      <c r="AT524" s="16"/>
      <c r="AU524" s="16"/>
      <c r="AV524" s="16"/>
      <c r="AW524" s="16"/>
      <c r="AX524" s="16"/>
      <c r="AY524" s="16"/>
      <c r="AZ524" s="16"/>
      <c r="BA524" s="16"/>
      <c r="BB524" s="16"/>
      <c r="BC524" s="16"/>
      <c r="BD524" s="16"/>
      <c r="BE524" s="16"/>
      <c r="BF524" s="16"/>
      <c r="BG524" s="16"/>
    </row>
    <row r="525" spans="27:59" x14ac:dyDescent="0.2">
      <c r="AA525" s="16"/>
      <c r="AB525" s="16"/>
      <c r="AC525" s="18" t="s">
        <v>162</v>
      </c>
      <c r="AD525" s="18" t="s">
        <v>162</v>
      </c>
      <c r="AF525" s="16"/>
      <c r="AG525" s="16"/>
      <c r="AH525" s="16"/>
      <c r="AI525" s="16"/>
      <c r="AJ525" s="16"/>
      <c r="AK525" s="16"/>
      <c r="AL525" s="16"/>
      <c r="AM525" s="16"/>
      <c r="AN525" s="16"/>
      <c r="AO525" s="16"/>
      <c r="AP525" s="16"/>
      <c r="AQ525" s="19" t="s">
        <v>158</v>
      </c>
      <c r="AR525" s="19" t="s">
        <v>165</v>
      </c>
      <c r="AS525" s="16"/>
      <c r="AT525" s="16"/>
      <c r="AU525" s="16"/>
      <c r="AV525" s="16"/>
      <c r="AW525" s="16"/>
      <c r="AX525" s="16"/>
      <c r="AY525" s="16"/>
      <c r="AZ525" s="16"/>
      <c r="BA525" s="16"/>
      <c r="BB525" s="16"/>
      <c r="BC525" s="16"/>
      <c r="BD525" s="16"/>
      <c r="BE525" s="16"/>
      <c r="BF525" s="16"/>
      <c r="BG525" s="16"/>
    </row>
    <row r="526" spans="27:59" x14ac:dyDescent="0.2">
      <c r="AA526" s="16"/>
      <c r="AB526" s="16"/>
      <c r="AC526" s="18" t="s">
        <v>164</v>
      </c>
      <c r="AD526" s="18" t="s">
        <v>164</v>
      </c>
      <c r="AF526" s="16"/>
      <c r="AG526" s="16"/>
      <c r="AH526" s="16"/>
      <c r="AI526" s="16"/>
      <c r="AJ526" s="16"/>
      <c r="AK526" s="16"/>
      <c r="AL526" s="16"/>
      <c r="AM526" s="16"/>
      <c r="AN526" s="16"/>
      <c r="AO526" s="16"/>
      <c r="AP526" s="16"/>
      <c r="AQ526" s="19" t="s">
        <v>158</v>
      </c>
      <c r="AR526" s="19" t="s">
        <v>167</v>
      </c>
      <c r="AS526" s="16"/>
      <c r="AT526" s="16"/>
      <c r="AU526" s="16"/>
      <c r="AV526" s="16"/>
      <c r="AW526" s="16"/>
      <c r="AX526" s="16"/>
      <c r="AY526" s="16"/>
      <c r="AZ526" s="16"/>
      <c r="BA526" s="16"/>
      <c r="BB526" s="16"/>
      <c r="BC526" s="16"/>
      <c r="BD526" s="16"/>
      <c r="BE526" s="16"/>
      <c r="BF526" s="16"/>
      <c r="BG526" s="16"/>
    </row>
    <row r="527" spans="27:59" x14ac:dyDescent="0.2">
      <c r="AA527" s="16"/>
      <c r="AB527" s="16"/>
      <c r="AC527" s="18" t="s">
        <v>166</v>
      </c>
      <c r="AD527" s="18" t="s">
        <v>166</v>
      </c>
      <c r="AF527" s="16"/>
      <c r="AG527" s="16"/>
      <c r="AH527" s="16"/>
      <c r="AI527" s="16"/>
      <c r="AJ527" s="16"/>
      <c r="AK527" s="16"/>
      <c r="AL527" s="16"/>
      <c r="AM527" s="16"/>
      <c r="AN527" s="16"/>
      <c r="AO527" s="16"/>
      <c r="AP527" s="16"/>
      <c r="AQ527" s="19" t="s">
        <v>169</v>
      </c>
      <c r="AR527" s="19" t="s">
        <v>170</v>
      </c>
      <c r="AS527" s="16"/>
      <c r="AT527" s="16"/>
      <c r="AU527" s="16"/>
      <c r="AV527" s="16"/>
      <c r="AW527" s="16"/>
      <c r="AX527" s="16"/>
      <c r="AY527" s="16"/>
      <c r="AZ527" s="16"/>
      <c r="BA527" s="16"/>
      <c r="BB527" s="16"/>
      <c r="BC527" s="16"/>
      <c r="BD527" s="16"/>
      <c r="BE527" s="16"/>
      <c r="BF527" s="16"/>
      <c r="BG527" s="16"/>
    </row>
    <row r="528" spans="27:59" x14ac:dyDescent="0.2">
      <c r="AA528" s="16"/>
      <c r="AB528" s="16"/>
      <c r="AC528" s="18" t="s">
        <v>658</v>
      </c>
      <c r="AD528" s="18" t="s">
        <v>658</v>
      </c>
      <c r="AF528" s="16"/>
      <c r="AG528" s="16"/>
      <c r="AH528" s="16"/>
      <c r="AI528" s="16"/>
      <c r="AJ528" s="16"/>
      <c r="AK528" s="16"/>
      <c r="AL528" s="16"/>
      <c r="AM528" s="16"/>
      <c r="AN528" s="16"/>
      <c r="AO528" s="16"/>
      <c r="AP528" s="16"/>
      <c r="AQ528" s="19" t="s">
        <v>169</v>
      </c>
      <c r="AR528" s="19" t="s">
        <v>172</v>
      </c>
      <c r="AS528" s="16"/>
      <c r="AT528" s="16"/>
      <c r="AU528" s="16"/>
      <c r="AV528" s="16"/>
      <c r="AW528" s="16"/>
      <c r="AX528" s="16"/>
      <c r="AY528" s="16"/>
      <c r="AZ528" s="16"/>
      <c r="BA528" s="16"/>
      <c r="BB528" s="16"/>
      <c r="BC528" s="16"/>
      <c r="BD528" s="16"/>
      <c r="BE528" s="16"/>
      <c r="BF528" s="16"/>
      <c r="BG528" s="16"/>
    </row>
    <row r="529" spans="27:59" x14ac:dyDescent="0.2">
      <c r="AA529" s="16"/>
      <c r="AB529" s="16"/>
      <c r="AC529" s="18" t="s">
        <v>168</v>
      </c>
      <c r="AD529" s="18" t="s">
        <v>168</v>
      </c>
      <c r="AF529" s="16"/>
      <c r="AG529" s="16"/>
      <c r="AH529" s="16"/>
      <c r="AI529" s="16"/>
      <c r="AJ529" s="16"/>
      <c r="AK529" s="16"/>
      <c r="AL529" s="16"/>
      <c r="AM529" s="16"/>
      <c r="AN529" s="16"/>
      <c r="AO529" s="16"/>
      <c r="AP529" s="16"/>
      <c r="AQ529" s="19" t="s">
        <v>169</v>
      </c>
      <c r="AR529" s="19" t="s">
        <v>174</v>
      </c>
      <c r="AS529" s="16"/>
      <c r="AT529" s="16"/>
      <c r="AU529" s="16"/>
      <c r="AV529" s="16"/>
      <c r="AW529" s="16"/>
      <c r="AX529" s="16"/>
      <c r="AY529" s="16"/>
      <c r="AZ529" s="16"/>
      <c r="BA529" s="16"/>
      <c r="BB529" s="16"/>
      <c r="BC529" s="16"/>
      <c r="BD529" s="16"/>
      <c r="BE529" s="16"/>
      <c r="BF529" s="16"/>
      <c r="BG529" s="16"/>
    </row>
    <row r="530" spans="27:59" x14ac:dyDescent="0.2">
      <c r="AA530" s="16" t="s">
        <v>29</v>
      </c>
      <c r="AB530" s="16"/>
      <c r="AC530" s="18" t="s">
        <v>171</v>
      </c>
      <c r="AD530" s="18" t="s">
        <v>171</v>
      </c>
      <c r="AF530" s="16"/>
      <c r="AG530" s="16"/>
      <c r="AH530" s="16"/>
      <c r="AI530" s="16"/>
      <c r="AJ530" s="16"/>
      <c r="AK530" s="16"/>
      <c r="AL530" s="16"/>
      <c r="AM530" s="16"/>
      <c r="AN530" s="16"/>
      <c r="AO530" s="16"/>
      <c r="AP530" s="16"/>
      <c r="AQ530" s="19" t="s">
        <v>169</v>
      </c>
      <c r="AR530" s="19" t="s">
        <v>176</v>
      </c>
      <c r="AS530" s="16"/>
      <c r="AT530" s="16"/>
      <c r="AU530" s="16"/>
      <c r="AV530" s="16"/>
      <c r="AW530" s="16"/>
      <c r="AX530" s="16"/>
      <c r="AY530" s="16"/>
      <c r="AZ530" s="16"/>
      <c r="BA530" s="16"/>
      <c r="BB530" s="16"/>
      <c r="BC530" s="16"/>
      <c r="BD530" s="16"/>
      <c r="BE530" s="16"/>
      <c r="BF530" s="16"/>
      <c r="BG530" s="16"/>
    </row>
    <row r="531" spans="27:59" x14ac:dyDescent="0.2">
      <c r="AA531" s="16" t="s">
        <v>17</v>
      </c>
      <c r="AB531" s="16"/>
      <c r="AC531" s="18" t="s">
        <v>173</v>
      </c>
      <c r="AD531" s="18" t="s">
        <v>173</v>
      </c>
      <c r="AF531" s="16"/>
      <c r="AG531" s="16"/>
      <c r="AH531" s="16"/>
      <c r="AI531" s="16"/>
      <c r="AJ531" s="16"/>
      <c r="AK531" s="16"/>
      <c r="AL531" s="16"/>
      <c r="AM531" s="16"/>
      <c r="AN531" s="16"/>
      <c r="AO531" s="16"/>
      <c r="AP531" s="16"/>
      <c r="AQ531" s="19" t="s">
        <v>169</v>
      </c>
      <c r="AR531" s="19" t="s">
        <v>178</v>
      </c>
      <c r="AS531" s="16"/>
      <c r="AT531" s="16"/>
      <c r="AU531" s="16"/>
      <c r="AV531" s="16"/>
      <c r="AW531" s="16"/>
      <c r="AX531" s="16"/>
      <c r="AY531" s="16"/>
      <c r="AZ531" s="16"/>
      <c r="BA531" s="16"/>
      <c r="BB531" s="16"/>
      <c r="BC531" s="16"/>
      <c r="BD531" s="16"/>
      <c r="BE531" s="16"/>
      <c r="BF531" s="16"/>
      <c r="BG531" s="16"/>
    </row>
    <row r="532" spans="27:59" x14ac:dyDescent="0.2">
      <c r="AA532" s="16" t="s">
        <v>52</v>
      </c>
      <c r="AB532" s="16"/>
      <c r="AC532" s="18" t="s">
        <v>175</v>
      </c>
      <c r="AD532" s="18" t="s">
        <v>175</v>
      </c>
      <c r="AF532" s="16"/>
      <c r="AG532" s="16"/>
      <c r="AH532" s="16"/>
      <c r="AI532" s="16"/>
      <c r="AJ532" s="16"/>
      <c r="AK532" s="16"/>
      <c r="AL532" s="16"/>
      <c r="AM532" s="16"/>
      <c r="AN532" s="16"/>
      <c r="AO532" s="16"/>
      <c r="AP532" s="16"/>
      <c r="AQ532" s="19" t="s">
        <v>169</v>
      </c>
      <c r="AR532" s="19" t="s">
        <v>180</v>
      </c>
      <c r="AS532" s="16"/>
      <c r="AT532" s="16"/>
      <c r="AU532" s="16"/>
      <c r="AV532" s="16"/>
      <c r="AW532" s="16"/>
      <c r="AX532" s="16"/>
      <c r="AY532" s="16"/>
      <c r="AZ532" s="16"/>
      <c r="BA532" s="16"/>
      <c r="BB532" s="16"/>
      <c r="BC532" s="16"/>
      <c r="BD532" s="16"/>
      <c r="BE532" s="16"/>
      <c r="BF532" s="16"/>
      <c r="BG532" s="16"/>
    </row>
    <row r="533" spans="27:59" x14ac:dyDescent="0.2">
      <c r="AA533" s="16" t="s">
        <v>41</v>
      </c>
      <c r="AB533" s="16"/>
      <c r="AC533" s="18" t="s">
        <v>659</v>
      </c>
      <c r="AD533" s="18" t="s">
        <v>659</v>
      </c>
      <c r="AF533" s="16"/>
      <c r="AG533" s="16"/>
      <c r="AH533" s="16"/>
      <c r="AI533" s="16"/>
      <c r="AJ533" s="16"/>
      <c r="AK533" s="16"/>
      <c r="AL533" s="16"/>
      <c r="AM533" s="16"/>
      <c r="AN533" s="16"/>
      <c r="AO533" s="16"/>
      <c r="AP533" s="16"/>
      <c r="AQ533" s="19" t="s">
        <v>169</v>
      </c>
      <c r="AR533" s="19" t="s">
        <v>182</v>
      </c>
      <c r="AS533" s="16"/>
      <c r="AT533" s="16"/>
      <c r="AU533" s="16"/>
      <c r="AV533" s="16"/>
      <c r="AW533" s="16"/>
      <c r="AX533" s="16"/>
      <c r="AY533" s="16"/>
      <c r="AZ533" s="16"/>
      <c r="BA533" s="16"/>
      <c r="BB533" s="16"/>
      <c r="BC533" s="16"/>
      <c r="BD533" s="16"/>
      <c r="BE533" s="16"/>
      <c r="BF533" s="16"/>
      <c r="BG533" s="16"/>
    </row>
    <row r="534" spans="27:59" x14ac:dyDescent="0.2">
      <c r="AA534" s="16" t="s">
        <v>91</v>
      </c>
      <c r="AB534" s="16"/>
      <c r="AC534" s="18" t="s">
        <v>177</v>
      </c>
      <c r="AD534" s="18" t="s">
        <v>177</v>
      </c>
      <c r="AF534" s="16"/>
      <c r="AG534" s="16"/>
      <c r="AH534" s="16"/>
      <c r="AI534" s="16"/>
      <c r="AJ534" s="16"/>
      <c r="AK534" s="16"/>
      <c r="AL534" s="16"/>
      <c r="AM534" s="16"/>
      <c r="AN534" s="16"/>
      <c r="AO534" s="16"/>
      <c r="AP534" s="16"/>
      <c r="AQ534" s="19" t="s">
        <v>169</v>
      </c>
      <c r="AR534" s="19" t="s">
        <v>184</v>
      </c>
      <c r="AS534" s="16"/>
      <c r="AT534" s="16"/>
      <c r="AU534" s="16"/>
      <c r="AV534" s="16"/>
      <c r="AW534" s="16"/>
      <c r="AX534" s="16"/>
      <c r="AY534" s="16"/>
      <c r="AZ534" s="16"/>
      <c r="BA534" s="16"/>
      <c r="BB534" s="16"/>
      <c r="BC534" s="16"/>
      <c r="BD534" s="16"/>
      <c r="BE534" s="16"/>
      <c r="BF534" s="16"/>
      <c r="BG534" s="16"/>
    </row>
    <row r="535" spans="27:59" x14ac:dyDescent="0.2">
      <c r="AA535" s="16" t="s">
        <v>84</v>
      </c>
      <c r="AB535" s="16"/>
      <c r="AC535" s="18" t="s">
        <v>179</v>
      </c>
      <c r="AD535" s="18" t="s">
        <v>179</v>
      </c>
      <c r="AF535" s="16"/>
      <c r="AG535" s="16"/>
      <c r="AH535" s="16"/>
      <c r="AI535" s="16"/>
      <c r="AJ535" s="16"/>
      <c r="AK535" s="16"/>
      <c r="AL535" s="16"/>
      <c r="AM535" s="16"/>
      <c r="AN535" s="16"/>
      <c r="AO535" s="16"/>
      <c r="AP535" s="16"/>
      <c r="AQ535" s="19" t="s">
        <v>169</v>
      </c>
      <c r="AR535" s="19" t="s">
        <v>186</v>
      </c>
      <c r="AS535" s="16"/>
      <c r="AT535" s="16"/>
      <c r="AU535" s="16"/>
      <c r="AV535" s="16"/>
      <c r="AW535" s="16"/>
      <c r="AX535" s="16"/>
      <c r="AY535" s="16"/>
      <c r="AZ535" s="16"/>
      <c r="BA535" s="16"/>
      <c r="BB535" s="16"/>
      <c r="BC535" s="16"/>
      <c r="BD535" s="16"/>
      <c r="BE535" s="16"/>
      <c r="BF535" s="16"/>
      <c r="BG535" s="16"/>
    </row>
    <row r="536" spans="27:59" x14ac:dyDescent="0.2">
      <c r="AA536" s="16" t="s">
        <v>63</v>
      </c>
      <c r="AB536" s="16"/>
      <c r="AC536" s="18" t="s">
        <v>660</v>
      </c>
      <c r="AD536" s="18" t="s">
        <v>660</v>
      </c>
      <c r="AF536" s="16"/>
      <c r="AG536" s="16"/>
      <c r="AH536" s="16"/>
      <c r="AI536" s="16"/>
      <c r="AJ536" s="16"/>
      <c r="AK536" s="16"/>
      <c r="AL536" s="16"/>
      <c r="AM536" s="16"/>
      <c r="AN536" s="16"/>
      <c r="AO536" s="16"/>
      <c r="AP536" s="16"/>
      <c r="AQ536" s="19" t="s">
        <v>188</v>
      </c>
      <c r="AR536" s="19" t="s">
        <v>189</v>
      </c>
      <c r="AS536" s="16"/>
      <c r="AT536" s="16"/>
      <c r="AU536" s="16"/>
      <c r="AV536" s="16"/>
      <c r="AW536" s="16"/>
      <c r="AX536" s="16"/>
      <c r="AY536" s="16"/>
      <c r="AZ536" s="16"/>
      <c r="BA536" s="16"/>
      <c r="BB536" s="16"/>
      <c r="BC536" s="16"/>
      <c r="BD536" s="16"/>
      <c r="BE536" s="16"/>
      <c r="BF536" s="16"/>
      <c r="BG536" s="16"/>
    </row>
    <row r="537" spans="27:59" x14ac:dyDescent="0.2">
      <c r="AA537" s="16"/>
      <c r="AB537" s="16"/>
      <c r="AC537" s="18" t="s">
        <v>181</v>
      </c>
      <c r="AD537" s="18" t="s">
        <v>181</v>
      </c>
      <c r="AF537" s="16"/>
      <c r="AG537" s="16"/>
      <c r="AH537" s="16"/>
      <c r="AI537" s="16"/>
      <c r="AJ537" s="16"/>
      <c r="AK537" s="16"/>
      <c r="AL537" s="16"/>
      <c r="AM537" s="16"/>
      <c r="AN537" s="16"/>
      <c r="AO537" s="16"/>
      <c r="AP537" s="16"/>
      <c r="AQ537" s="19" t="s">
        <v>188</v>
      </c>
      <c r="AR537" s="19" t="s">
        <v>191</v>
      </c>
      <c r="AS537" s="16"/>
      <c r="AT537" s="16"/>
      <c r="AU537" s="16"/>
      <c r="AV537" s="16"/>
      <c r="AW537" s="16"/>
      <c r="AX537" s="16"/>
      <c r="AY537" s="16"/>
      <c r="AZ537" s="16"/>
      <c r="BA537" s="16"/>
      <c r="BB537" s="16"/>
      <c r="BC537" s="16"/>
      <c r="BD537" s="16"/>
      <c r="BE537" s="16"/>
      <c r="BF537" s="16"/>
      <c r="BG537" s="16"/>
    </row>
    <row r="538" spans="27:59" x14ac:dyDescent="0.2">
      <c r="AA538" s="16"/>
      <c r="AB538" s="16"/>
      <c r="AC538" s="18" t="s">
        <v>183</v>
      </c>
      <c r="AD538" s="18" t="s">
        <v>183</v>
      </c>
      <c r="AF538" s="16"/>
      <c r="AG538" s="16"/>
      <c r="AH538" s="16"/>
      <c r="AI538" s="16"/>
      <c r="AJ538" s="16"/>
      <c r="AK538" s="16"/>
      <c r="AL538" s="16"/>
      <c r="AM538" s="16"/>
      <c r="AN538" s="16"/>
      <c r="AO538" s="16"/>
      <c r="AP538" s="16"/>
      <c r="AQ538" s="19" t="s">
        <v>188</v>
      </c>
      <c r="AR538" s="19" t="s">
        <v>193</v>
      </c>
      <c r="AS538" s="16"/>
      <c r="AT538" s="16"/>
      <c r="AU538" s="16"/>
      <c r="AV538" s="16"/>
      <c r="AW538" s="16"/>
      <c r="AX538" s="16"/>
      <c r="AY538" s="16"/>
      <c r="AZ538" s="16"/>
      <c r="BA538" s="16"/>
      <c r="BB538" s="16"/>
      <c r="BC538" s="16"/>
      <c r="BD538" s="16"/>
      <c r="BE538" s="16"/>
      <c r="BF538" s="16"/>
      <c r="BG538" s="16"/>
    </row>
    <row r="539" spans="27:59" x14ac:dyDescent="0.2">
      <c r="AA539" s="16"/>
      <c r="AB539" s="16"/>
      <c r="AC539" s="18" t="s">
        <v>185</v>
      </c>
      <c r="AD539" s="18" t="s">
        <v>185</v>
      </c>
      <c r="AF539" s="16"/>
      <c r="AG539" s="16"/>
      <c r="AH539" s="16"/>
      <c r="AI539" s="16"/>
      <c r="AJ539" s="16"/>
      <c r="AK539" s="16"/>
      <c r="AL539" s="16"/>
      <c r="AM539" s="16"/>
      <c r="AN539" s="16"/>
      <c r="AO539" s="16"/>
      <c r="AP539" s="16"/>
      <c r="AQ539" s="19" t="s">
        <v>188</v>
      </c>
      <c r="AR539" s="19" t="s">
        <v>195</v>
      </c>
      <c r="AS539" s="16"/>
      <c r="AT539" s="16"/>
      <c r="AU539" s="16"/>
      <c r="AV539" s="16"/>
      <c r="AW539" s="16"/>
      <c r="AX539" s="16"/>
      <c r="AY539" s="16"/>
      <c r="AZ539" s="16"/>
      <c r="BA539" s="16"/>
      <c r="BB539" s="16"/>
      <c r="BC539" s="16"/>
      <c r="BD539" s="16"/>
      <c r="BE539" s="16"/>
      <c r="BF539" s="16"/>
      <c r="BG539" s="16"/>
    </row>
    <row r="540" spans="27:59" x14ac:dyDescent="0.2">
      <c r="AA540" s="16"/>
      <c r="AB540" s="16"/>
      <c r="AC540" s="18" t="s">
        <v>187</v>
      </c>
      <c r="AD540" s="18" t="s">
        <v>187</v>
      </c>
      <c r="AF540" s="16"/>
      <c r="AG540" s="16"/>
      <c r="AH540" s="16"/>
      <c r="AI540" s="16"/>
      <c r="AJ540" s="16"/>
      <c r="AK540" s="16"/>
      <c r="AL540" s="16"/>
      <c r="AM540" s="16"/>
      <c r="AN540" s="16"/>
      <c r="AO540" s="16"/>
      <c r="AP540" s="16"/>
      <c r="AQ540" s="19" t="s">
        <v>188</v>
      </c>
      <c r="AR540" s="19" t="s">
        <v>197</v>
      </c>
      <c r="AS540" s="16"/>
      <c r="AT540" s="16"/>
      <c r="AU540" s="16"/>
      <c r="AV540" s="16"/>
      <c r="AW540" s="16"/>
      <c r="AX540" s="16"/>
      <c r="AY540" s="16"/>
      <c r="AZ540" s="16"/>
      <c r="BA540" s="16"/>
      <c r="BB540" s="16"/>
      <c r="BC540" s="16"/>
      <c r="BD540" s="16"/>
      <c r="BE540" s="16"/>
      <c r="BF540" s="16"/>
      <c r="BG540" s="16"/>
    </row>
    <row r="541" spans="27:59" x14ac:dyDescent="0.2">
      <c r="AA541" s="16"/>
      <c r="AB541" s="16"/>
      <c r="AC541" s="18" t="s">
        <v>661</v>
      </c>
      <c r="AD541" s="18" t="s">
        <v>661</v>
      </c>
      <c r="AF541" s="16"/>
      <c r="AG541" s="16"/>
      <c r="AH541" s="16"/>
      <c r="AI541" s="16"/>
      <c r="AJ541" s="16"/>
      <c r="AK541" s="16"/>
      <c r="AL541" s="16"/>
      <c r="AM541" s="16"/>
      <c r="AN541" s="16"/>
      <c r="AO541" s="16"/>
      <c r="AP541" s="16"/>
      <c r="AQ541" s="19" t="s">
        <v>188</v>
      </c>
      <c r="AR541" s="19" t="s">
        <v>199</v>
      </c>
      <c r="AS541" s="16"/>
      <c r="AT541" s="16"/>
      <c r="AU541" s="16"/>
      <c r="AV541" s="16"/>
      <c r="AW541" s="16"/>
      <c r="AX541" s="16"/>
      <c r="AY541" s="16"/>
      <c r="AZ541" s="16"/>
      <c r="BA541" s="16"/>
      <c r="BB541" s="16"/>
      <c r="BC541" s="16"/>
      <c r="BD541" s="16"/>
      <c r="BE541" s="16"/>
      <c r="BF541" s="16"/>
      <c r="BG541" s="16"/>
    </row>
    <row r="542" spans="27:59" x14ac:dyDescent="0.2">
      <c r="AA542" s="16"/>
      <c r="AB542" s="16"/>
      <c r="AC542" s="18" t="s">
        <v>190</v>
      </c>
      <c r="AD542" s="18" t="s">
        <v>190</v>
      </c>
      <c r="AF542" s="16"/>
      <c r="AG542" s="16"/>
      <c r="AH542" s="16"/>
      <c r="AI542" s="16"/>
      <c r="AJ542" s="16"/>
      <c r="AK542" s="16"/>
      <c r="AL542" s="16"/>
      <c r="AM542" s="16"/>
      <c r="AN542" s="16"/>
      <c r="AO542" s="16"/>
      <c r="AP542" s="16"/>
      <c r="AQ542" s="19" t="s">
        <v>188</v>
      </c>
      <c r="AR542" s="19" t="s">
        <v>201</v>
      </c>
      <c r="AS542" s="16"/>
      <c r="AT542" s="16"/>
      <c r="AU542" s="16"/>
      <c r="AV542" s="16"/>
      <c r="AW542" s="16"/>
      <c r="AX542" s="16"/>
      <c r="AY542" s="16"/>
      <c r="AZ542" s="16"/>
      <c r="BA542" s="16"/>
      <c r="BB542" s="16"/>
      <c r="BC542" s="16"/>
      <c r="BD542" s="16"/>
      <c r="BE542" s="16"/>
      <c r="BF542" s="16"/>
      <c r="BG542" s="16"/>
    </row>
    <row r="543" spans="27:59" x14ac:dyDescent="0.2">
      <c r="AA543" s="16"/>
      <c r="AB543" s="16"/>
      <c r="AC543" s="18" t="s">
        <v>192</v>
      </c>
      <c r="AD543" s="18" t="s">
        <v>192</v>
      </c>
      <c r="AF543" s="16"/>
      <c r="AG543" s="16"/>
      <c r="AH543" s="16"/>
      <c r="AI543" s="16"/>
      <c r="AJ543" s="16"/>
      <c r="AK543" s="16"/>
      <c r="AL543" s="16"/>
      <c r="AM543" s="16"/>
      <c r="AN543" s="16"/>
      <c r="AO543" s="16"/>
      <c r="AP543" s="16"/>
      <c r="AQ543" s="19" t="s">
        <v>188</v>
      </c>
      <c r="AR543" s="19" t="s">
        <v>203</v>
      </c>
      <c r="AS543" s="16"/>
      <c r="AT543" s="16"/>
      <c r="AU543" s="16"/>
      <c r="AV543" s="16"/>
      <c r="AW543" s="16"/>
      <c r="AX543" s="16"/>
      <c r="AY543" s="16"/>
      <c r="AZ543" s="16"/>
      <c r="BA543" s="16"/>
      <c r="BB543" s="16"/>
      <c r="BC543" s="16"/>
      <c r="BD543" s="16"/>
      <c r="BE543" s="16"/>
      <c r="BF543" s="16"/>
      <c r="BG543" s="16"/>
    </row>
    <row r="544" spans="27:59" x14ac:dyDescent="0.2">
      <c r="AA544" s="16"/>
      <c r="AB544" s="16"/>
      <c r="AC544" s="18" t="s">
        <v>194</v>
      </c>
      <c r="AD544" s="18" t="s">
        <v>194</v>
      </c>
      <c r="AF544" s="16"/>
      <c r="AG544" s="16"/>
      <c r="AH544" s="16"/>
      <c r="AI544" s="16"/>
      <c r="AJ544" s="16"/>
      <c r="AK544" s="16"/>
      <c r="AL544" s="16"/>
      <c r="AM544" s="16"/>
      <c r="AN544" s="16"/>
      <c r="AO544" s="16"/>
      <c r="AP544" s="16"/>
      <c r="AQ544" s="19" t="s">
        <v>188</v>
      </c>
      <c r="AR544" s="19" t="s">
        <v>205</v>
      </c>
      <c r="AS544" s="16"/>
      <c r="AT544" s="16"/>
      <c r="AU544" s="16"/>
      <c r="AV544" s="16"/>
      <c r="AW544" s="16"/>
      <c r="AX544" s="16"/>
      <c r="AY544" s="16"/>
      <c r="AZ544" s="16"/>
      <c r="BA544" s="16"/>
      <c r="BB544" s="16"/>
      <c r="BC544" s="16"/>
      <c r="BD544" s="16"/>
      <c r="BE544" s="16"/>
      <c r="BF544" s="16"/>
      <c r="BG544" s="16"/>
    </row>
    <row r="545" spans="27:59" x14ac:dyDescent="0.2">
      <c r="AA545" s="16"/>
      <c r="AB545" s="16"/>
      <c r="AC545" s="18" t="s">
        <v>196</v>
      </c>
      <c r="AD545" s="18" t="s">
        <v>196</v>
      </c>
      <c r="AF545" s="16"/>
      <c r="AG545" s="16"/>
      <c r="AH545" s="16"/>
      <c r="AI545" s="16"/>
      <c r="AJ545" s="16"/>
      <c r="AK545" s="16"/>
      <c r="AL545" s="16"/>
      <c r="AM545" s="16"/>
      <c r="AN545" s="16"/>
      <c r="AO545" s="16"/>
      <c r="AP545" s="16"/>
      <c r="AQ545" s="19" t="s">
        <v>188</v>
      </c>
      <c r="AR545" s="19" t="s">
        <v>207</v>
      </c>
      <c r="AS545" s="16"/>
      <c r="AT545" s="16"/>
      <c r="AU545" s="16"/>
      <c r="AV545" s="16"/>
      <c r="AW545" s="16"/>
      <c r="AX545" s="16"/>
      <c r="AY545" s="16"/>
      <c r="AZ545" s="16"/>
      <c r="BA545" s="16"/>
      <c r="BB545" s="16"/>
      <c r="BC545" s="16"/>
      <c r="BD545" s="16"/>
      <c r="BE545" s="16"/>
      <c r="BF545" s="16"/>
      <c r="BG545" s="16"/>
    </row>
    <row r="546" spans="27:59" x14ac:dyDescent="0.2">
      <c r="AA546" s="16"/>
      <c r="AB546" s="16"/>
      <c r="AC546" s="18" t="s">
        <v>198</v>
      </c>
      <c r="AD546" s="18" t="s">
        <v>198</v>
      </c>
      <c r="AF546" s="16"/>
      <c r="AG546" s="16"/>
      <c r="AH546" s="16"/>
      <c r="AI546" s="16"/>
      <c r="AJ546" s="16"/>
      <c r="AK546" s="16"/>
      <c r="AL546" s="16"/>
      <c r="AM546" s="16"/>
      <c r="AN546" s="16"/>
      <c r="AO546" s="16"/>
      <c r="AP546" s="16"/>
      <c r="AQ546" s="19" t="s">
        <v>188</v>
      </c>
      <c r="AR546" s="19" t="s">
        <v>209</v>
      </c>
      <c r="AS546" s="16"/>
      <c r="AT546" s="16"/>
      <c r="AU546" s="16"/>
      <c r="AV546" s="16"/>
      <c r="AW546" s="16"/>
      <c r="AX546" s="16"/>
      <c r="AY546" s="16"/>
      <c r="AZ546" s="16"/>
      <c r="BA546" s="16"/>
      <c r="BB546" s="16"/>
      <c r="BC546" s="16"/>
      <c r="BD546" s="16"/>
      <c r="BE546" s="16"/>
      <c r="BF546" s="16"/>
      <c r="BG546" s="16"/>
    </row>
    <row r="547" spans="27:59" x14ac:dyDescent="0.2">
      <c r="AA547" s="16"/>
      <c r="AB547" s="16"/>
      <c r="AC547" s="18" t="s">
        <v>200</v>
      </c>
      <c r="AD547" s="18" t="s">
        <v>200</v>
      </c>
      <c r="AF547" s="16"/>
      <c r="AG547" s="16"/>
      <c r="AH547" s="16"/>
      <c r="AI547" s="16"/>
      <c r="AJ547" s="16"/>
      <c r="AK547" s="16"/>
      <c r="AL547" s="16"/>
      <c r="AM547" s="16"/>
      <c r="AN547" s="16"/>
      <c r="AO547" s="16"/>
      <c r="AP547" s="16"/>
      <c r="AQ547" s="19" t="s">
        <v>188</v>
      </c>
      <c r="AR547" s="19" t="s">
        <v>211</v>
      </c>
      <c r="AS547" s="16"/>
      <c r="AT547" s="16"/>
      <c r="AU547" s="16"/>
      <c r="AV547" s="16"/>
      <c r="AW547" s="16"/>
      <c r="AX547" s="16"/>
      <c r="AY547" s="16"/>
      <c r="AZ547" s="16"/>
      <c r="BA547" s="16"/>
      <c r="BB547" s="16"/>
      <c r="BC547" s="16"/>
      <c r="BD547" s="16"/>
      <c r="BE547" s="16"/>
      <c r="BF547" s="16"/>
      <c r="BG547" s="16"/>
    </row>
    <row r="548" spans="27:59" x14ac:dyDescent="0.2">
      <c r="AA548" s="16"/>
      <c r="AB548" s="16"/>
      <c r="AC548" s="18" t="s">
        <v>202</v>
      </c>
      <c r="AD548" s="18" t="s">
        <v>202</v>
      </c>
      <c r="AF548" s="16"/>
      <c r="AG548" s="16"/>
      <c r="AH548" s="16"/>
      <c r="AI548" s="16"/>
      <c r="AJ548" s="16"/>
      <c r="AK548" s="16"/>
      <c r="AL548" s="16"/>
      <c r="AM548" s="16"/>
      <c r="AN548" s="16"/>
      <c r="AO548" s="16"/>
      <c r="AP548" s="16"/>
      <c r="AQ548" s="19" t="s">
        <v>213</v>
      </c>
      <c r="AR548" s="19" t="s">
        <v>214</v>
      </c>
      <c r="AS548" s="16"/>
      <c r="AT548" s="16"/>
      <c r="AU548" s="16"/>
      <c r="AV548" s="16"/>
      <c r="AW548" s="16"/>
      <c r="AX548" s="16"/>
      <c r="AY548" s="16"/>
      <c r="AZ548" s="16"/>
      <c r="BA548" s="16"/>
      <c r="BB548" s="16"/>
      <c r="BC548" s="16"/>
      <c r="BD548" s="16"/>
      <c r="BE548" s="16"/>
      <c r="BF548" s="16"/>
      <c r="BG548" s="16"/>
    </row>
    <row r="549" spans="27:59" x14ac:dyDescent="0.2">
      <c r="AA549" s="16"/>
      <c r="AB549" s="16"/>
      <c r="AC549" s="18" t="s">
        <v>204</v>
      </c>
      <c r="AD549" s="18" t="s">
        <v>204</v>
      </c>
      <c r="AF549" s="16"/>
      <c r="AG549" s="16"/>
      <c r="AH549" s="16"/>
      <c r="AI549" s="16"/>
      <c r="AJ549" s="16"/>
      <c r="AK549" s="16"/>
      <c r="AL549" s="16"/>
      <c r="AM549" s="16"/>
      <c r="AN549" s="16"/>
      <c r="AO549" s="16"/>
      <c r="AP549" s="16"/>
      <c r="AQ549" s="19" t="s">
        <v>93</v>
      </c>
      <c r="AR549" s="19" t="s">
        <v>216</v>
      </c>
      <c r="AS549" s="16"/>
      <c r="AT549" s="16"/>
      <c r="AU549" s="16"/>
      <c r="AV549" s="16"/>
      <c r="AW549" s="16"/>
      <c r="AX549" s="16"/>
      <c r="AY549" s="16"/>
      <c r="AZ549" s="16"/>
      <c r="BA549" s="16"/>
      <c r="BB549" s="16"/>
      <c r="BC549" s="16"/>
      <c r="BD549" s="16"/>
      <c r="BE549" s="16"/>
      <c r="BF549" s="16"/>
      <c r="BG549" s="16"/>
    </row>
    <row r="550" spans="27:59" x14ac:dyDescent="0.2">
      <c r="AA550" s="16"/>
      <c r="AB550" s="16"/>
      <c r="AC550" s="18" t="s">
        <v>206</v>
      </c>
      <c r="AD550" s="18" t="s">
        <v>206</v>
      </c>
      <c r="AF550" s="16"/>
      <c r="AG550" s="16"/>
      <c r="AH550" s="16"/>
      <c r="AI550" s="16"/>
      <c r="AJ550" s="16"/>
      <c r="AK550" s="16"/>
      <c r="AL550" s="16"/>
      <c r="AM550" s="16"/>
      <c r="AN550" s="16"/>
      <c r="AO550" s="16"/>
      <c r="AP550" s="16"/>
      <c r="AQ550" s="19" t="s">
        <v>93</v>
      </c>
      <c r="AR550" s="19" t="s">
        <v>218</v>
      </c>
      <c r="AS550" s="16"/>
      <c r="AT550" s="16"/>
      <c r="AU550" s="16"/>
      <c r="AV550" s="16"/>
      <c r="AW550" s="16"/>
      <c r="AX550" s="16"/>
      <c r="AY550" s="16"/>
      <c r="AZ550" s="16"/>
      <c r="BA550" s="16"/>
      <c r="BB550" s="16"/>
      <c r="BC550" s="16"/>
      <c r="BD550" s="16"/>
      <c r="BE550" s="16"/>
      <c r="BF550" s="16"/>
      <c r="BG550" s="16"/>
    </row>
    <row r="551" spans="27:59" x14ac:dyDescent="0.2">
      <c r="AA551" s="16"/>
      <c r="AB551" s="16"/>
      <c r="AC551" s="18" t="s">
        <v>208</v>
      </c>
      <c r="AD551" s="18" t="s">
        <v>208</v>
      </c>
      <c r="AF551" s="16"/>
      <c r="AG551" s="16"/>
      <c r="AH551" s="16"/>
      <c r="AI551" s="16"/>
      <c r="AJ551" s="16"/>
      <c r="AK551" s="16"/>
      <c r="AL551" s="16"/>
      <c r="AM551" s="16"/>
      <c r="AN551" s="16"/>
      <c r="AO551" s="16"/>
      <c r="AP551" s="16"/>
      <c r="AQ551" s="19" t="s">
        <v>93</v>
      </c>
      <c r="AR551" s="19" t="s">
        <v>219</v>
      </c>
      <c r="AS551" s="16"/>
      <c r="AT551" s="16"/>
      <c r="AU551" s="16"/>
      <c r="AV551" s="16"/>
      <c r="AW551" s="16"/>
      <c r="AX551" s="16"/>
      <c r="AY551" s="16"/>
      <c r="AZ551" s="16"/>
      <c r="BA551" s="16"/>
      <c r="BB551" s="16"/>
      <c r="BC551" s="16"/>
      <c r="BD551" s="16"/>
      <c r="BE551" s="16"/>
      <c r="BF551" s="16"/>
      <c r="BG551" s="16"/>
    </row>
    <row r="552" spans="27:59" x14ac:dyDescent="0.2">
      <c r="AA552" s="16"/>
      <c r="AB552" s="16"/>
      <c r="AC552" s="18" t="s">
        <v>210</v>
      </c>
      <c r="AD552" s="18" t="s">
        <v>210</v>
      </c>
      <c r="AF552" s="16"/>
      <c r="AG552" s="16"/>
      <c r="AH552" s="16"/>
      <c r="AI552" s="16"/>
      <c r="AJ552" s="16"/>
      <c r="AK552" s="16"/>
      <c r="AL552" s="16"/>
      <c r="AM552" s="16"/>
      <c r="AN552" s="16"/>
      <c r="AO552" s="16"/>
      <c r="AP552" s="16"/>
      <c r="AQ552" s="19" t="s">
        <v>93</v>
      </c>
      <c r="AR552" s="19" t="s">
        <v>221</v>
      </c>
      <c r="AS552" s="16"/>
      <c r="AT552" s="16"/>
      <c r="AU552" s="16"/>
      <c r="AV552" s="16"/>
      <c r="AW552" s="16"/>
      <c r="AX552" s="16"/>
      <c r="AY552" s="16"/>
      <c r="AZ552" s="16"/>
      <c r="BA552" s="16"/>
      <c r="BB552" s="16"/>
      <c r="BC552" s="16"/>
      <c r="BD552" s="16"/>
      <c r="BE552" s="16"/>
      <c r="BF552" s="16"/>
      <c r="BG552" s="16"/>
    </row>
    <row r="553" spans="27:59" x14ac:dyDescent="0.2">
      <c r="AA553" s="16"/>
      <c r="AB553" s="16"/>
      <c r="AC553" s="18" t="s">
        <v>212</v>
      </c>
      <c r="AD553" s="18" t="s">
        <v>212</v>
      </c>
      <c r="AF553" s="16"/>
      <c r="AG553" s="16"/>
      <c r="AH553" s="16"/>
      <c r="AI553" s="16"/>
      <c r="AJ553" s="16"/>
      <c r="AK553" s="16"/>
      <c r="AL553" s="16"/>
      <c r="AM553" s="16"/>
      <c r="AN553" s="16"/>
      <c r="AO553" s="16"/>
      <c r="AP553" s="16"/>
      <c r="AQ553" s="19" t="s">
        <v>93</v>
      </c>
      <c r="AR553" s="19" t="s">
        <v>223</v>
      </c>
      <c r="AS553" s="16"/>
      <c r="AT553" s="16"/>
      <c r="AU553" s="16"/>
      <c r="AV553" s="16"/>
      <c r="AW553" s="16"/>
      <c r="AX553" s="16"/>
      <c r="AY553" s="16"/>
      <c r="AZ553" s="16"/>
      <c r="BA553" s="16"/>
      <c r="BB553" s="16"/>
      <c r="BC553" s="16"/>
      <c r="BD553" s="16"/>
      <c r="BE553" s="16"/>
      <c r="BF553" s="16"/>
      <c r="BG553" s="16"/>
    </row>
    <row r="554" spans="27:59" x14ac:dyDescent="0.2">
      <c r="AA554" s="16"/>
      <c r="AB554" s="16"/>
      <c r="AC554" s="18" t="s">
        <v>215</v>
      </c>
      <c r="AD554" s="18" t="s">
        <v>215</v>
      </c>
      <c r="AF554" s="16"/>
      <c r="AG554" s="16"/>
      <c r="AH554" s="16"/>
      <c r="AI554" s="16"/>
      <c r="AJ554" s="16"/>
      <c r="AK554" s="16"/>
      <c r="AL554" s="16"/>
      <c r="AM554" s="16"/>
      <c r="AN554" s="16"/>
      <c r="AO554" s="16"/>
      <c r="AP554" s="16"/>
      <c r="AQ554" s="19" t="s">
        <v>93</v>
      </c>
      <c r="AR554" s="19" t="s">
        <v>225</v>
      </c>
      <c r="AS554" s="16"/>
      <c r="AT554" s="16"/>
      <c r="AU554" s="16"/>
      <c r="AV554" s="16"/>
      <c r="AW554" s="16"/>
      <c r="AX554" s="16"/>
      <c r="AY554" s="16"/>
      <c r="AZ554" s="16"/>
      <c r="BA554" s="16"/>
      <c r="BB554" s="16"/>
      <c r="BC554" s="16"/>
      <c r="BD554" s="16"/>
      <c r="BE554" s="16"/>
      <c r="BF554" s="16"/>
      <c r="BG554" s="16"/>
    </row>
    <row r="555" spans="27:59" x14ac:dyDescent="0.2">
      <c r="AA555" s="16"/>
      <c r="AB555" s="16"/>
      <c r="AC555" s="18" t="s">
        <v>217</v>
      </c>
      <c r="AD555" s="18" t="s">
        <v>217</v>
      </c>
      <c r="AF555" s="16"/>
      <c r="AG555" s="16"/>
      <c r="AH555" s="16"/>
      <c r="AI555" s="16"/>
      <c r="AJ555" s="16"/>
      <c r="AK555" s="16"/>
      <c r="AL555" s="16"/>
      <c r="AM555" s="16"/>
      <c r="AN555" s="16"/>
      <c r="AO555" s="16"/>
      <c r="AP555" s="16"/>
      <c r="AQ555" s="19" t="s">
        <v>93</v>
      </c>
      <c r="AR555" s="19" t="s">
        <v>93</v>
      </c>
      <c r="AS555" s="16"/>
      <c r="AT555" s="16"/>
      <c r="AU555" s="16"/>
      <c r="AV555" s="16"/>
      <c r="AW555" s="16"/>
      <c r="AX555" s="16"/>
      <c r="AY555" s="16"/>
      <c r="AZ555" s="16"/>
      <c r="BA555" s="16"/>
      <c r="BB555" s="16"/>
      <c r="BC555" s="16"/>
      <c r="BD555" s="16"/>
      <c r="BE555" s="16"/>
      <c r="BF555" s="16"/>
      <c r="BG555" s="16"/>
    </row>
    <row r="556" spans="27:59" x14ac:dyDescent="0.2">
      <c r="AA556" s="16"/>
      <c r="AB556" s="16"/>
      <c r="AC556" s="18" t="s">
        <v>20</v>
      </c>
      <c r="AD556" s="18" t="s">
        <v>20</v>
      </c>
      <c r="AF556" s="16"/>
      <c r="AG556" s="16"/>
      <c r="AH556" s="16"/>
      <c r="AI556" s="16"/>
      <c r="AJ556" s="16"/>
      <c r="AK556" s="16"/>
      <c r="AL556" s="16"/>
      <c r="AM556" s="16"/>
      <c r="AN556" s="16"/>
      <c r="AO556" s="16"/>
      <c r="AP556" s="16"/>
      <c r="AQ556" s="19" t="s">
        <v>228</v>
      </c>
      <c r="AR556" s="19" t="s">
        <v>229</v>
      </c>
      <c r="AS556" s="16"/>
      <c r="AT556" s="16"/>
      <c r="AU556" s="16"/>
      <c r="AV556" s="16"/>
      <c r="AW556" s="16"/>
      <c r="AX556" s="16"/>
      <c r="AY556" s="16"/>
      <c r="AZ556" s="16"/>
      <c r="BA556" s="16"/>
      <c r="BB556" s="16"/>
      <c r="BC556" s="16"/>
      <c r="BD556" s="16"/>
      <c r="BE556" s="16"/>
      <c r="BF556" s="16"/>
      <c r="BG556" s="16"/>
    </row>
    <row r="557" spans="27:59" x14ac:dyDescent="0.2">
      <c r="AA557" s="16"/>
      <c r="AB557" s="16"/>
      <c r="AC557" s="18" t="s">
        <v>220</v>
      </c>
      <c r="AD557" s="18" t="s">
        <v>220</v>
      </c>
      <c r="AF557" s="16"/>
      <c r="AG557" s="16"/>
      <c r="AH557" s="16"/>
      <c r="AI557" s="16"/>
      <c r="AJ557" s="16"/>
      <c r="AK557" s="16"/>
      <c r="AL557" s="16"/>
      <c r="AM557" s="16"/>
      <c r="AN557" s="16"/>
      <c r="AO557" s="16"/>
      <c r="AP557" s="16"/>
      <c r="AQ557" s="19" t="s">
        <v>228</v>
      </c>
      <c r="AR557" s="19" t="s">
        <v>231</v>
      </c>
      <c r="AS557" s="16"/>
      <c r="AT557" s="16"/>
      <c r="AU557" s="16"/>
      <c r="AV557" s="16"/>
      <c r="AW557" s="16"/>
      <c r="AX557" s="16"/>
      <c r="AY557" s="16"/>
      <c r="AZ557" s="16"/>
      <c r="BA557" s="16"/>
      <c r="BB557" s="16"/>
      <c r="BC557" s="16"/>
      <c r="BD557" s="16"/>
      <c r="BE557" s="16"/>
      <c r="BF557" s="16"/>
      <c r="BG557" s="16"/>
    </row>
    <row r="558" spans="27:59" x14ac:dyDescent="0.2">
      <c r="AA558" s="16"/>
      <c r="AB558" s="16"/>
      <c r="AC558" s="18" t="s">
        <v>222</v>
      </c>
      <c r="AD558" s="18" t="s">
        <v>222</v>
      </c>
      <c r="AF558" s="16"/>
      <c r="AG558" s="16"/>
      <c r="AH558" s="16"/>
      <c r="AI558" s="16"/>
      <c r="AJ558" s="16"/>
      <c r="AK558" s="16"/>
      <c r="AL558" s="16"/>
      <c r="AM558" s="16"/>
      <c r="AN558" s="16"/>
      <c r="AO558" s="16"/>
      <c r="AP558" s="16"/>
      <c r="AQ558" s="19" t="s">
        <v>89</v>
      </c>
      <c r="AR558" s="19" t="s">
        <v>233</v>
      </c>
      <c r="AS558" s="16"/>
      <c r="AT558" s="16"/>
      <c r="AU558" s="16"/>
      <c r="AV558" s="16"/>
      <c r="AW558" s="16"/>
      <c r="AX558" s="16"/>
      <c r="AY558" s="16"/>
      <c r="AZ558" s="16"/>
      <c r="BA558" s="16"/>
      <c r="BB558" s="16"/>
      <c r="BC558" s="16"/>
      <c r="BD558" s="16"/>
      <c r="BE558" s="16"/>
      <c r="BF558" s="16"/>
      <c r="BG558" s="16"/>
    </row>
    <row r="559" spans="27:59" x14ac:dyDescent="0.2">
      <c r="AA559" s="16"/>
      <c r="AB559" s="16"/>
      <c r="AC559" s="18" t="s">
        <v>224</v>
      </c>
      <c r="AD559" s="18" t="s">
        <v>224</v>
      </c>
      <c r="AF559" s="16"/>
      <c r="AG559" s="16"/>
      <c r="AH559" s="16"/>
      <c r="AI559" s="16"/>
      <c r="AJ559" s="16"/>
      <c r="AK559" s="16"/>
      <c r="AL559" s="16"/>
      <c r="AM559" s="16"/>
      <c r="AN559" s="16"/>
      <c r="AO559" s="16"/>
      <c r="AP559" s="16"/>
      <c r="AQ559" s="19" t="s">
        <v>89</v>
      </c>
      <c r="AR559" s="19" t="s">
        <v>235</v>
      </c>
      <c r="AS559" s="16"/>
      <c r="AT559" s="16"/>
      <c r="AU559" s="16"/>
      <c r="AV559" s="16"/>
      <c r="AW559" s="16"/>
      <c r="AX559" s="16"/>
      <c r="AY559" s="16"/>
      <c r="AZ559" s="16"/>
      <c r="BA559" s="16"/>
      <c r="BB559" s="16"/>
      <c r="BC559" s="16"/>
      <c r="BD559" s="16"/>
      <c r="BE559" s="16"/>
      <c r="BF559" s="16"/>
      <c r="BG559" s="16"/>
    </row>
    <row r="560" spans="27:59" x14ac:dyDescent="0.2">
      <c r="AA560" s="16"/>
      <c r="AB560" s="16"/>
      <c r="AC560" s="18" t="s">
        <v>226</v>
      </c>
      <c r="AD560" s="18" t="s">
        <v>226</v>
      </c>
      <c r="AF560" s="16"/>
      <c r="AG560" s="16"/>
      <c r="AH560" s="16"/>
      <c r="AI560" s="16"/>
      <c r="AJ560" s="16"/>
      <c r="AK560" s="16"/>
      <c r="AL560" s="16"/>
      <c r="AM560" s="16"/>
      <c r="AN560" s="16"/>
      <c r="AO560" s="16"/>
      <c r="AP560" s="16"/>
      <c r="AQ560" s="19" t="s">
        <v>89</v>
      </c>
      <c r="AR560" s="19" t="s">
        <v>93</v>
      </c>
      <c r="AS560" s="16"/>
      <c r="AT560" s="16"/>
      <c r="AU560" s="16"/>
      <c r="AV560" s="16"/>
      <c r="AW560" s="16"/>
      <c r="AX560" s="16"/>
      <c r="AY560" s="16"/>
      <c r="AZ560" s="16"/>
      <c r="BA560" s="16"/>
      <c r="BB560" s="16"/>
      <c r="BC560" s="16"/>
      <c r="BD560" s="16"/>
      <c r="BE560" s="16"/>
      <c r="BF560" s="16"/>
      <c r="BG560" s="16"/>
    </row>
    <row r="561" spans="27:59" x14ac:dyDescent="0.2">
      <c r="AA561" s="16"/>
      <c r="AB561" s="16"/>
      <c r="AC561" s="18" t="s">
        <v>227</v>
      </c>
      <c r="AD561" s="18" t="s">
        <v>227</v>
      </c>
      <c r="AF561" s="16"/>
      <c r="AG561" s="16"/>
      <c r="AH561" s="16"/>
      <c r="AI561" s="16"/>
      <c r="AJ561" s="16"/>
      <c r="AK561" s="16"/>
      <c r="AL561" s="16"/>
      <c r="AM561" s="16"/>
      <c r="AN561" s="16"/>
      <c r="AO561" s="16"/>
      <c r="AP561" s="16"/>
      <c r="AQ561" s="19" t="s">
        <v>89</v>
      </c>
      <c r="AR561" s="19" t="s">
        <v>238</v>
      </c>
      <c r="AS561" s="16"/>
      <c r="AT561" s="16"/>
      <c r="AU561" s="16"/>
      <c r="AV561" s="16"/>
      <c r="AW561" s="16"/>
      <c r="AX561" s="16"/>
      <c r="AY561" s="16"/>
      <c r="AZ561" s="16"/>
      <c r="BA561" s="16"/>
      <c r="BB561" s="16"/>
      <c r="BC561" s="16"/>
      <c r="BD561" s="16"/>
      <c r="BE561" s="16"/>
      <c r="BF561" s="16"/>
      <c r="BG561" s="16"/>
    </row>
    <row r="562" spans="27:59" x14ac:dyDescent="0.2">
      <c r="AA562" s="16"/>
      <c r="AB562" s="16"/>
      <c r="AC562" s="18" t="s">
        <v>230</v>
      </c>
      <c r="AD562" s="18" t="s">
        <v>230</v>
      </c>
      <c r="AF562" s="16"/>
      <c r="AG562" s="16"/>
      <c r="AH562" s="16"/>
      <c r="AI562" s="16"/>
      <c r="AJ562" s="16"/>
      <c r="AK562" s="16"/>
      <c r="AL562" s="16"/>
      <c r="AM562" s="16"/>
      <c r="AN562" s="16"/>
      <c r="AO562" s="16"/>
      <c r="AP562" s="16"/>
      <c r="AQ562" s="19" t="s">
        <v>89</v>
      </c>
      <c r="AR562" s="19" t="s">
        <v>240</v>
      </c>
      <c r="AS562" s="16"/>
      <c r="AT562" s="16"/>
      <c r="AU562" s="16"/>
      <c r="AV562" s="16"/>
      <c r="AW562" s="16"/>
      <c r="AX562" s="16"/>
      <c r="AY562" s="16"/>
      <c r="AZ562" s="16"/>
      <c r="BA562" s="16"/>
      <c r="BB562" s="16"/>
      <c r="BC562" s="16"/>
      <c r="BD562" s="16"/>
      <c r="BE562" s="16"/>
      <c r="BF562" s="16"/>
      <c r="BG562" s="16"/>
    </row>
    <row r="563" spans="27:59" x14ac:dyDescent="0.2">
      <c r="AA563" s="16"/>
      <c r="AB563" s="16"/>
      <c r="AC563" s="18" t="s">
        <v>232</v>
      </c>
      <c r="AD563" s="18" t="s">
        <v>232</v>
      </c>
      <c r="AF563" s="16"/>
      <c r="AG563" s="16"/>
      <c r="AH563" s="16"/>
      <c r="AI563" s="16"/>
      <c r="AJ563" s="16"/>
      <c r="AK563" s="16"/>
      <c r="AL563" s="16"/>
      <c r="AM563" s="16"/>
      <c r="AN563" s="16"/>
      <c r="AO563" s="16"/>
      <c r="AP563" s="16"/>
      <c r="AQ563" s="19" t="s">
        <v>242</v>
      </c>
      <c r="AR563" s="19" t="s">
        <v>243</v>
      </c>
      <c r="AS563" s="16"/>
      <c r="AT563" s="16"/>
      <c r="AU563" s="16"/>
      <c r="AV563" s="16"/>
      <c r="AW563" s="16"/>
      <c r="AX563" s="16"/>
      <c r="AY563" s="16"/>
      <c r="AZ563" s="16"/>
      <c r="BA563" s="16"/>
      <c r="BB563" s="16"/>
      <c r="BC563" s="16"/>
      <c r="BD563" s="16"/>
      <c r="BE563" s="16"/>
      <c r="BF563" s="16"/>
      <c r="BG563" s="16"/>
    </row>
    <row r="564" spans="27:59" x14ac:dyDescent="0.2">
      <c r="AA564" s="16"/>
      <c r="AB564" s="16"/>
      <c r="AC564" s="18" t="s">
        <v>234</v>
      </c>
      <c r="AD564" s="18" t="s">
        <v>234</v>
      </c>
      <c r="AF564" s="16"/>
      <c r="AG564" s="16"/>
      <c r="AH564" s="16"/>
      <c r="AI564" s="16"/>
      <c r="AJ564" s="16"/>
      <c r="AK564" s="16"/>
      <c r="AL564" s="16"/>
      <c r="AM564" s="16"/>
      <c r="AN564" s="16"/>
      <c r="AO564" s="16"/>
      <c r="AP564" s="16"/>
      <c r="AQ564" s="19" t="s">
        <v>245</v>
      </c>
      <c r="AR564" s="19" t="s">
        <v>246</v>
      </c>
      <c r="AS564" s="16"/>
      <c r="AT564" s="16"/>
      <c r="AU564" s="16"/>
      <c r="AV564" s="16"/>
      <c r="AW564" s="16"/>
      <c r="AX564" s="16"/>
      <c r="AY564" s="16"/>
      <c r="AZ564" s="16"/>
      <c r="BA564" s="16"/>
      <c r="BB564" s="16"/>
      <c r="BC564" s="16"/>
      <c r="BD564" s="16"/>
      <c r="BE564" s="16"/>
      <c r="BF564" s="16"/>
      <c r="BG564" s="16"/>
    </row>
    <row r="565" spans="27:59" x14ac:dyDescent="0.2">
      <c r="AA565" s="16"/>
      <c r="AB565" s="16"/>
      <c r="AC565" s="18" t="s">
        <v>236</v>
      </c>
      <c r="AD565" s="18" t="s">
        <v>236</v>
      </c>
      <c r="AF565" s="16"/>
      <c r="AG565" s="16"/>
      <c r="AH565" s="16"/>
      <c r="AI565" s="16"/>
      <c r="AJ565" s="16"/>
      <c r="AK565" s="16"/>
      <c r="AL565" s="16"/>
      <c r="AM565" s="16"/>
      <c r="AN565" s="16"/>
      <c r="AO565" s="16"/>
      <c r="AP565" s="16"/>
      <c r="AQ565" s="19" t="s">
        <v>245</v>
      </c>
      <c r="AR565" s="19" t="s">
        <v>248</v>
      </c>
      <c r="AS565" s="16"/>
      <c r="AT565" s="16"/>
      <c r="AU565" s="16"/>
      <c r="AV565" s="16"/>
      <c r="AW565" s="16"/>
      <c r="AX565" s="16"/>
      <c r="AY565" s="16"/>
      <c r="AZ565" s="16"/>
      <c r="BA565" s="16"/>
      <c r="BB565" s="16"/>
      <c r="BC565" s="16"/>
      <c r="BD565" s="16"/>
      <c r="BE565" s="16"/>
      <c r="BF565" s="16"/>
      <c r="BG565" s="16"/>
    </row>
    <row r="566" spans="27:59" x14ac:dyDescent="0.2">
      <c r="AA566" s="16"/>
      <c r="AB566" s="16"/>
      <c r="AC566" s="18" t="s">
        <v>662</v>
      </c>
      <c r="AD566" s="18" t="s">
        <v>662</v>
      </c>
      <c r="AF566" s="16"/>
      <c r="AG566" s="16"/>
      <c r="AH566" s="16"/>
      <c r="AI566" s="16"/>
      <c r="AJ566" s="16"/>
      <c r="AK566" s="16"/>
      <c r="AL566" s="16"/>
      <c r="AM566" s="16"/>
      <c r="AN566" s="16"/>
      <c r="AO566" s="16"/>
      <c r="AP566" s="16"/>
      <c r="AQ566" s="19" t="s">
        <v>245</v>
      </c>
      <c r="AR566" s="19" t="s">
        <v>250</v>
      </c>
      <c r="AS566" s="16"/>
      <c r="AT566" s="16"/>
      <c r="AU566" s="16"/>
      <c r="AV566" s="16"/>
      <c r="AW566" s="16"/>
      <c r="AX566" s="16"/>
      <c r="AY566" s="16"/>
      <c r="AZ566" s="16"/>
      <c r="BA566" s="16"/>
      <c r="BB566" s="16"/>
      <c r="BC566" s="16"/>
      <c r="BD566" s="16"/>
      <c r="BE566" s="16"/>
      <c r="BF566" s="16"/>
      <c r="BG566" s="16"/>
    </row>
    <row r="567" spans="27:59" x14ac:dyDescent="0.2">
      <c r="AA567" s="16"/>
      <c r="AB567" s="16"/>
      <c r="AC567" s="18" t="s">
        <v>237</v>
      </c>
      <c r="AD567" s="18" t="s">
        <v>237</v>
      </c>
      <c r="AF567" s="16"/>
      <c r="AG567" s="16"/>
      <c r="AH567" s="16"/>
      <c r="AI567" s="16"/>
      <c r="AJ567" s="16"/>
      <c r="AK567" s="16"/>
      <c r="AL567" s="16"/>
      <c r="AM567" s="16"/>
      <c r="AN567" s="16"/>
      <c r="AO567" s="16"/>
      <c r="AP567" s="16"/>
      <c r="AQ567" s="19" t="s">
        <v>109</v>
      </c>
      <c r="AR567" s="19" t="s">
        <v>101</v>
      </c>
      <c r="AS567" s="16"/>
      <c r="AT567" s="16"/>
      <c r="AU567" s="16"/>
      <c r="AV567" s="16"/>
      <c r="AW567" s="16"/>
      <c r="AX567" s="16"/>
      <c r="AY567" s="16"/>
      <c r="AZ567" s="16"/>
      <c r="BA567" s="16"/>
      <c r="BB567" s="16"/>
      <c r="BC567" s="16"/>
      <c r="BD567" s="16"/>
      <c r="BE567" s="16"/>
      <c r="BF567" s="16"/>
      <c r="BG567" s="16"/>
    </row>
    <row r="568" spans="27:59" x14ac:dyDescent="0.2">
      <c r="AA568" s="16"/>
      <c r="AB568" s="16"/>
      <c r="AC568" s="18" t="s">
        <v>239</v>
      </c>
      <c r="AD568" s="18" t="s">
        <v>239</v>
      </c>
      <c r="AF568" s="16"/>
      <c r="AG568" s="16"/>
      <c r="AH568" s="16"/>
      <c r="AI568" s="16"/>
      <c r="AJ568" s="16"/>
      <c r="AK568" s="16"/>
      <c r="AL568" s="16"/>
      <c r="AM568" s="16"/>
      <c r="AN568" s="16"/>
      <c r="AO568" s="16"/>
      <c r="AP568" s="16"/>
      <c r="AQ568" s="19" t="s">
        <v>109</v>
      </c>
      <c r="AR568" s="19" t="s">
        <v>252</v>
      </c>
      <c r="AS568" s="16"/>
      <c r="AT568" s="16"/>
      <c r="AU568" s="16"/>
      <c r="AV568" s="16"/>
      <c r="AW568" s="16"/>
      <c r="AX568" s="16"/>
      <c r="AY568" s="16"/>
      <c r="AZ568" s="16"/>
      <c r="BA568" s="16"/>
      <c r="BB568" s="16"/>
      <c r="BC568" s="16"/>
      <c r="BD568" s="16"/>
      <c r="BE568" s="16"/>
      <c r="BF568" s="16"/>
      <c r="BG568" s="16"/>
    </row>
    <row r="569" spans="27:59" x14ac:dyDescent="0.2">
      <c r="AA569" s="16"/>
      <c r="AB569" s="16"/>
      <c r="AC569" s="18" t="s">
        <v>241</v>
      </c>
      <c r="AD569" s="18" t="s">
        <v>241</v>
      </c>
      <c r="AF569" s="16"/>
      <c r="AG569" s="16"/>
      <c r="AH569" s="16"/>
      <c r="AI569" s="16"/>
      <c r="AJ569" s="16"/>
      <c r="AK569" s="16"/>
      <c r="AL569" s="16"/>
      <c r="AM569" s="16"/>
      <c r="AN569" s="16"/>
      <c r="AO569" s="16"/>
      <c r="AP569" s="16"/>
      <c r="AQ569" s="19" t="s">
        <v>109</v>
      </c>
      <c r="AR569" s="19" t="s">
        <v>254</v>
      </c>
      <c r="AS569" s="16"/>
      <c r="AT569" s="16"/>
      <c r="AU569" s="16"/>
      <c r="AV569" s="16"/>
      <c r="AW569" s="16"/>
      <c r="AX569" s="16"/>
      <c r="AY569" s="16"/>
      <c r="AZ569" s="16"/>
      <c r="BA569" s="16"/>
      <c r="BB569" s="16"/>
      <c r="BC569" s="16"/>
      <c r="BD569" s="16"/>
      <c r="BE569" s="16"/>
      <c r="BF569" s="16"/>
      <c r="BG569" s="16"/>
    </row>
    <row r="570" spans="27:59" x14ac:dyDescent="0.2">
      <c r="AA570" s="16"/>
      <c r="AB570" s="16"/>
      <c r="AC570" s="18" t="s">
        <v>244</v>
      </c>
      <c r="AD570" s="18" t="s">
        <v>244</v>
      </c>
      <c r="AF570" s="16"/>
      <c r="AG570" s="16"/>
      <c r="AH570" s="16"/>
      <c r="AI570" s="16"/>
      <c r="AJ570" s="16"/>
      <c r="AK570" s="16"/>
      <c r="AL570" s="16"/>
      <c r="AM570" s="16"/>
      <c r="AN570" s="16"/>
      <c r="AO570" s="16"/>
      <c r="AP570" s="16"/>
      <c r="AQ570" s="19" t="s">
        <v>109</v>
      </c>
      <c r="AR570" s="19" t="s">
        <v>255</v>
      </c>
      <c r="AS570" s="16"/>
      <c r="AT570" s="16"/>
      <c r="AU570" s="16"/>
      <c r="AV570" s="16"/>
      <c r="AW570" s="16"/>
      <c r="AX570" s="16"/>
      <c r="AY570" s="16"/>
      <c r="AZ570" s="16"/>
      <c r="BA570" s="16"/>
      <c r="BB570" s="16"/>
      <c r="BC570" s="16"/>
      <c r="BD570" s="16"/>
      <c r="BE570" s="16"/>
      <c r="BF570" s="16"/>
      <c r="BG570" s="16"/>
    </row>
    <row r="571" spans="27:59" x14ac:dyDescent="0.2">
      <c r="AA571" s="16"/>
      <c r="AB571" s="16"/>
      <c r="AC571" s="18" t="s">
        <v>247</v>
      </c>
      <c r="AD571" s="18" t="s">
        <v>247</v>
      </c>
      <c r="AF571" s="16"/>
      <c r="AG571" s="16"/>
      <c r="AH571" s="16"/>
      <c r="AI571" s="16"/>
      <c r="AJ571" s="16"/>
      <c r="AK571" s="16"/>
      <c r="AL571" s="16"/>
      <c r="AM571" s="16"/>
      <c r="AN571" s="16"/>
      <c r="AO571" s="16"/>
      <c r="AP571" s="16"/>
      <c r="AQ571" s="19" t="s">
        <v>257</v>
      </c>
      <c r="AR571" s="19" t="s">
        <v>179</v>
      </c>
      <c r="AS571" s="16"/>
      <c r="AT571" s="16"/>
      <c r="AU571" s="16"/>
      <c r="AV571" s="16"/>
      <c r="AW571" s="16"/>
      <c r="AX571" s="16"/>
      <c r="AY571" s="16"/>
      <c r="AZ571" s="16"/>
      <c r="BA571" s="16"/>
      <c r="BB571" s="16"/>
      <c r="BC571" s="16"/>
      <c r="BD571" s="16"/>
      <c r="BE571" s="16"/>
      <c r="BF571" s="16"/>
      <c r="BG571" s="16"/>
    </row>
    <row r="572" spans="27:59" x14ac:dyDescent="0.2">
      <c r="AA572" s="16"/>
      <c r="AB572" s="16"/>
      <c r="AC572" s="18" t="s">
        <v>249</v>
      </c>
      <c r="AD572" s="18" t="s">
        <v>249</v>
      </c>
      <c r="AF572" s="16"/>
      <c r="AG572" s="16"/>
      <c r="AH572" s="16"/>
      <c r="AI572" s="16"/>
      <c r="AJ572" s="16"/>
      <c r="AK572" s="16"/>
      <c r="AL572" s="16"/>
      <c r="AM572" s="16"/>
      <c r="AN572" s="16"/>
      <c r="AO572" s="16"/>
      <c r="AP572" s="16"/>
      <c r="AQ572" s="19" t="s">
        <v>257</v>
      </c>
      <c r="AR572" s="19" t="s">
        <v>259</v>
      </c>
      <c r="AS572" s="16"/>
      <c r="AT572" s="16"/>
      <c r="AU572" s="16"/>
      <c r="AV572" s="16"/>
      <c r="AW572" s="16"/>
      <c r="AX572" s="16"/>
      <c r="AY572" s="16"/>
      <c r="AZ572" s="16"/>
      <c r="BA572" s="16"/>
      <c r="BB572" s="16"/>
      <c r="BC572" s="16"/>
      <c r="BD572" s="16"/>
      <c r="BE572" s="16"/>
      <c r="BF572" s="16"/>
      <c r="BG572" s="16"/>
    </row>
    <row r="573" spans="27:59" x14ac:dyDescent="0.2">
      <c r="AA573" s="16"/>
      <c r="AB573" s="16"/>
      <c r="AC573" s="18" t="s">
        <v>251</v>
      </c>
      <c r="AD573" s="18" t="s">
        <v>251</v>
      </c>
      <c r="AF573" s="16"/>
      <c r="AG573" s="16"/>
      <c r="AH573" s="16"/>
      <c r="AI573" s="16"/>
      <c r="AJ573" s="16"/>
      <c r="AK573" s="16"/>
      <c r="AL573" s="16"/>
      <c r="AM573" s="16"/>
      <c r="AN573" s="16"/>
      <c r="AO573" s="16"/>
      <c r="AP573" s="16"/>
      <c r="AQ573" s="19" t="s">
        <v>257</v>
      </c>
      <c r="AR573" s="19" t="s">
        <v>261</v>
      </c>
      <c r="AS573" s="16"/>
      <c r="AT573" s="16"/>
      <c r="AU573" s="16"/>
      <c r="AV573" s="16"/>
      <c r="AW573" s="16"/>
      <c r="AX573" s="16"/>
      <c r="AY573" s="16"/>
      <c r="AZ573" s="16"/>
      <c r="BA573" s="16"/>
      <c r="BB573" s="16"/>
      <c r="BC573" s="16"/>
      <c r="BD573" s="16"/>
      <c r="BE573" s="16"/>
      <c r="BF573" s="16"/>
      <c r="BG573" s="16"/>
    </row>
    <row r="574" spans="27:59" x14ac:dyDescent="0.2">
      <c r="AA574" s="16"/>
      <c r="AB574" s="16"/>
      <c r="AC574" s="18" t="s">
        <v>32</v>
      </c>
      <c r="AD574" s="18" t="s">
        <v>32</v>
      </c>
      <c r="AF574" s="16"/>
      <c r="AG574" s="16"/>
      <c r="AH574" s="16"/>
      <c r="AI574" s="16"/>
      <c r="AJ574" s="16"/>
      <c r="AK574" s="16"/>
      <c r="AL574" s="16"/>
      <c r="AM574" s="16"/>
      <c r="AN574" s="16"/>
      <c r="AO574" s="16"/>
      <c r="AP574" s="16"/>
      <c r="AQ574" s="19" t="s">
        <v>257</v>
      </c>
      <c r="AR574" s="19" t="s">
        <v>263</v>
      </c>
      <c r="AS574" s="16"/>
      <c r="AT574" s="16"/>
      <c r="AU574" s="16"/>
      <c r="AV574" s="16"/>
      <c r="AW574" s="16"/>
      <c r="AX574" s="16"/>
      <c r="AY574" s="16"/>
      <c r="AZ574" s="16"/>
      <c r="BA574" s="16"/>
      <c r="BB574" s="16"/>
      <c r="BC574" s="16"/>
      <c r="BD574" s="16"/>
      <c r="BE574" s="16"/>
      <c r="BF574" s="16"/>
      <c r="BG574" s="16"/>
    </row>
    <row r="575" spans="27:59" x14ac:dyDescent="0.2">
      <c r="AA575" s="16"/>
      <c r="AB575" s="16"/>
      <c r="AC575" s="18" t="s">
        <v>253</v>
      </c>
      <c r="AD575" s="18" t="s">
        <v>253</v>
      </c>
      <c r="AF575" s="16"/>
      <c r="AG575" s="16"/>
      <c r="AH575" s="16"/>
      <c r="AI575" s="16"/>
      <c r="AJ575" s="16"/>
      <c r="AK575" s="16"/>
      <c r="AL575" s="16"/>
      <c r="AM575" s="16"/>
      <c r="AN575" s="16"/>
      <c r="AO575" s="16"/>
      <c r="AP575" s="16"/>
      <c r="AQ575" s="19" t="s">
        <v>257</v>
      </c>
      <c r="AR575" s="19" t="s">
        <v>264</v>
      </c>
      <c r="AS575" s="16"/>
      <c r="AT575" s="16"/>
      <c r="AU575" s="16"/>
      <c r="AV575" s="16"/>
      <c r="AW575" s="16"/>
      <c r="AX575" s="16"/>
      <c r="AY575" s="16"/>
      <c r="AZ575" s="16"/>
      <c r="BA575" s="16"/>
      <c r="BB575" s="16"/>
      <c r="BC575" s="16"/>
      <c r="BD575" s="16"/>
      <c r="BE575" s="16"/>
      <c r="BF575" s="16"/>
      <c r="BG575" s="16"/>
    </row>
    <row r="576" spans="27:59" x14ac:dyDescent="0.2">
      <c r="AA576" s="16"/>
      <c r="AB576" s="16"/>
      <c r="AC576" s="18" t="s">
        <v>115</v>
      </c>
      <c r="AD576" s="18" t="s">
        <v>115</v>
      </c>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row>
    <row r="577" spans="27:59" x14ac:dyDescent="0.2">
      <c r="AA577" s="16"/>
      <c r="AB577" s="16"/>
      <c r="AC577" s="18" t="s">
        <v>256</v>
      </c>
      <c r="AD577" s="18" t="s">
        <v>256</v>
      </c>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row>
    <row r="578" spans="27:59" x14ac:dyDescent="0.2">
      <c r="AA578" s="16"/>
      <c r="AB578" s="16"/>
      <c r="AC578" s="18" t="s">
        <v>258</v>
      </c>
      <c r="AD578" s="18" t="s">
        <v>258</v>
      </c>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row>
    <row r="579" spans="27:59" x14ac:dyDescent="0.2">
      <c r="AA579" s="16"/>
      <c r="AB579" s="16"/>
      <c r="AC579" s="18" t="s">
        <v>260</v>
      </c>
      <c r="AD579" s="18" t="s">
        <v>260</v>
      </c>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row>
    <row r="580" spans="27:59" x14ac:dyDescent="0.2">
      <c r="AA580" s="16"/>
      <c r="AB580" s="16"/>
      <c r="AC580" s="18" t="s">
        <v>262</v>
      </c>
      <c r="AD580" s="18" t="s">
        <v>262</v>
      </c>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row>
    <row r="581" spans="27:59" x14ac:dyDescent="0.2">
      <c r="AA581" s="16"/>
      <c r="AB581" s="16"/>
      <c r="AC581" s="18" t="s">
        <v>44</v>
      </c>
      <c r="AD581" s="18" t="s">
        <v>44</v>
      </c>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row>
    <row r="582" spans="27:59" x14ac:dyDescent="0.2">
      <c r="AA582" s="16"/>
      <c r="AB582" s="16"/>
      <c r="AC582" s="18" t="s">
        <v>265</v>
      </c>
      <c r="AD582" s="18" t="s">
        <v>265</v>
      </c>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row>
    <row r="583" spans="27:59" x14ac:dyDescent="0.2">
      <c r="AA583" s="16"/>
      <c r="AB583" s="16"/>
      <c r="AC583" s="18" t="s">
        <v>266</v>
      </c>
      <c r="AD583" s="18" t="s">
        <v>266</v>
      </c>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row>
    <row r="584" spans="27:59" x14ac:dyDescent="0.2">
      <c r="AA584" s="16"/>
      <c r="AB584" s="16"/>
      <c r="AC584" s="18" t="s">
        <v>267</v>
      </c>
      <c r="AD584" s="18" t="s">
        <v>267</v>
      </c>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row>
    <row r="585" spans="27:59" x14ac:dyDescent="0.2">
      <c r="AA585" s="16"/>
      <c r="AB585" s="16"/>
      <c r="AC585" s="18" t="s">
        <v>268</v>
      </c>
      <c r="AD585" s="18" t="s">
        <v>268</v>
      </c>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row>
    <row r="586" spans="27:59" x14ac:dyDescent="0.2">
      <c r="AA586" s="16"/>
      <c r="AB586" s="16"/>
      <c r="AC586" s="18" t="s">
        <v>269</v>
      </c>
      <c r="AD586" s="18" t="s">
        <v>269</v>
      </c>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row>
    <row r="587" spans="27:59" x14ac:dyDescent="0.2">
      <c r="AA587" s="16"/>
      <c r="AB587" s="16"/>
      <c r="AC587" s="18" t="s">
        <v>270</v>
      </c>
      <c r="AD587" s="18" t="s">
        <v>270</v>
      </c>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row>
    <row r="588" spans="27:59" x14ac:dyDescent="0.2">
      <c r="AA588" s="16"/>
      <c r="AB588" s="16"/>
      <c r="AC588" s="18" t="s">
        <v>271</v>
      </c>
      <c r="AD588" s="18" t="s">
        <v>271</v>
      </c>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row>
    <row r="589" spans="27:59" x14ac:dyDescent="0.2">
      <c r="AA589" s="16"/>
      <c r="AB589" s="16"/>
      <c r="AC589" s="18" t="s">
        <v>272</v>
      </c>
      <c r="AD589" s="18" t="s">
        <v>272</v>
      </c>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row>
    <row r="590" spans="27:59" x14ac:dyDescent="0.2">
      <c r="AA590" s="16"/>
      <c r="AB590" s="16"/>
      <c r="AC590" s="18" t="s">
        <v>273</v>
      </c>
      <c r="AD590" s="18" t="s">
        <v>273</v>
      </c>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row>
    <row r="591" spans="27:59" x14ac:dyDescent="0.2">
      <c r="AA591" s="16"/>
      <c r="AB591" s="16"/>
      <c r="AC591" s="18" t="s">
        <v>274</v>
      </c>
      <c r="AD591" s="18" t="s">
        <v>274</v>
      </c>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row>
    <row r="592" spans="27:59" x14ac:dyDescent="0.2">
      <c r="AA592" s="16"/>
      <c r="AB592" s="16"/>
      <c r="AC592" s="18" t="s">
        <v>275</v>
      </c>
      <c r="AD592" s="18" t="s">
        <v>111</v>
      </c>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row>
    <row r="593" spans="27:59" x14ac:dyDescent="0.2">
      <c r="AA593" s="16"/>
      <c r="AB593" s="16"/>
      <c r="AC593" s="18" t="s">
        <v>276</v>
      </c>
      <c r="AD593" s="18" t="s">
        <v>90</v>
      </c>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row>
    <row r="594" spans="27:59" x14ac:dyDescent="0.2">
      <c r="AA594" s="16"/>
      <c r="AB594" s="16"/>
      <c r="AC594" s="18" t="s">
        <v>277</v>
      </c>
      <c r="AD594" s="18" t="s">
        <v>97</v>
      </c>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row>
    <row r="595" spans="27:59" x14ac:dyDescent="0.2">
      <c r="AA595" s="16"/>
      <c r="AB595" s="16"/>
      <c r="AC595" s="18" t="s">
        <v>278</v>
      </c>
      <c r="AD595" s="18" t="s">
        <v>101</v>
      </c>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row>
    <row r="596" spans="27:59" x14ac:dyDescent="0.2">
      <c r="AA596" s="16"/>
      <c r="AB596" s="16"/>
      <c r="AC596" s="18" t="s">
        <v>279</v>
      </c>
      <c r="AD596" s="18" t="s">
        <v>111</v>
      </c>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row>
    <row r="597" spans="27:59" x14ac:dyDescent="0.2">
      <c r="AA597" s="16"/>
      <c r="AB597" s="16"/>
      <c r="AC597" s="18" t="s">
        <v>280</v>
      </c>
      <c r="AD597" s="18" t="s">
        <v>153</v>
      </c>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row>
    <row r="598" spans="27:59" x14ac:dyDescent="0.2">
      <c r="AA598" s="16"/>
      <c r="AB598" s="16"/>
      <c r="AC598" s="18" t="s">
        <v>281</v>
      </c>
      <c r="AD598" s="18" t="s">
        <v>192</v>
      </c>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row>
    <row r="599" spans="27:59" x14ac:dyDescent="0.2">
      <c r="AA599" s="16"/>
      <c r="AB599" s="16"/>
      <c r="AC599" s="18" t="s">
        <v>282</v>
      </c>
      <c r="AD599" s="18" t="s">
        <v>200</v>
      </c>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row>
    <row r="600" spans="27:59" x14ac:dyDescent="0.2">
      <c r="AA600" s="16"/>
      <c r="AB600" s="16"/>
      <c r="AC600" s="18" t="s">
        <v>283</v>
      </c>
      <c r="AD600" s="18" t="s">
        <v>206</v>
      </c>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row>
    <row r="601" spans="27:59" x14ac:dyDescent="0.2">
      <c r="AA601" s="16"/>
      <c r="AB601" s="16"/>
      <c r="AC601" s="18" t="s">
        <v>284</v>
      </c>
      <c r="AD601" s="18" t="s">
        <v>20</v>
      </c>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row>
    <row r="602" spans="27:59" x14ac:dyDescent="0.2">
      <c r="AA602" s="16"/>
      <c r="AB602" s="16"/>
      <c r="AC602" s="18" t="s">
        <v>285</v>
      </c>
      <c r="AD602" s="18" t="s">
        <v>224</v>
      </c>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row>
    <row r="603" spans="27:59" x14ac:dyDescent="0.2">
      <c r="AC603" s="18" t="s">
        <v>286</v>
      </c>
      <c r="AD603" s="18" t="s">
        <v>230</v>
      </c>
      <c r="AF603" s="16"/>
      <c r="AL603" s="16"/>
      <c r="AQ603" s="16"/>
      <c r="AR603" s="16"/>
    </row>
    <row r="604" spans="27:59" x14ac:dyDescent="0.2">
      <c r="AC604" s="18" t="s">
        <v>287</v>
      </c>
      <c r="AD604" s="18" t="s">
        <v>91</v>
      </c>
      <c r="AL604" s="16"/>
      <c r="AQ604" s="16"/>
      <c r="AR604" s="16"/>
    </row>
    <row r="605" spans="27:59" x14ac:dyDescent="0.2">
      <c r="AC605" s="5" t="s">
        <v>288</v>
      </c>
      <c r="AD605" s="5" t="s">
        <v>289</v>
      </c>
      <c r="AL605" s="16"/>
    </row>
    <row r="606" spans="27:59" x14ac:dyDescent="0.2">
      <c r="AC606" s="5" t="s">
        <v>290</v>
      </c>
      <c r="AD606" s="5" t="s">
        <v>291</v>
      </c>
    </row>
    <row r="607" spans="27:59" x14ac:dyDescent="0.2">
      <c r="AC607" s="5" t="s">
        <v>292</v>
      </c>
      <c r="AD607" s="5" t="s">
        <v>293</v>
      </c>
    </row>
    <row r="608" spans="27:59" x14ac:dyDescent="0.2">
      <c r="AC608" s="5" t="s">
        <v>294</v>
      </c>
      <c r="AD608" s="5" t="s">
        <v>295</v>
      </c>
    </row>
    <row r="609" spans="29:30" x14ac:dyDescent="0.2">
      <c r="AC609" s="5" t="s">
        <v>296</v>
      </c>
      <c r="AD609" s="5" t="s">
        <v>297</v>
      </c>
    </row>
    <row r="610" spans="29:30" x14ac:dyDescent="0.2">
      <c r="AC610" s="5" t="s">
        <v>298</v>
      </c>
      <c r="AD610" s="5" t="s">
        <v>299</v>
      </c>
    </row>
    <row r="611" spans="29:30" x14ac:dyDescent="0.2">
      <c r="AC611" s="5" t="s">
        <v>300</v>
      </c>
      <c r="AD611" s="5" t="s">
        <v>301</v>
      </c>
    </row>
    <row r="612" spans="29:30" x14ac:dyDescent="0.2">
      <c r="AC612" s="5" t="s">
        <v>302</v>
      </c>
      <c r="AD612" s="5" t="s">
        <v>303</v>
      </c>
    </row>
    <row r="613" spans="29:30" x14ac:dyDescent="0.2">
      <c r="AC613" s="5" t="s">
        <v>304</v>
      </c>
      <c r="AD613" s="5" t="s">
        <v>305</v>
      </c>
    </row>
    <row r="614" spans="29:30" x14ac:dyDescent="0.2">
      <c r="AC614" s="5" t="s">
        <v>306</v>
      </c>
      <c r="AD614" s="5" t="s">
        <v>307</v>
      </c>
    </row>
    <row r="615" spans="29:30" x14ac:dyDescent="0.2">
      <c r="AC615" s="5" t="s">
        <v>308</v>
      </c>
      <c r="AD615" s="5" t="s">
        <v>309</v>
      </c>
    </row>
    <row r="616" spans="29:30" x14ac:dyDescent="0.2">
      <c r="AC616" s="5" t="s">
        <v>310</v>
      </c>
      <c r="AD616" s="5" t="s">
        <v>311</v>
      </c>
    </row>
    <row r="617" spans="29:30" x14ac:dyDescent="0.2">
      <c r="AC617" s="5" t="s">
        <v>312</v>
      </c>
      <c r="AD617" s="5" t="s">
        <v>313</v>
      </c>
    </row>
    <row r="618" spans="29:30" x14ac:dyDescent="0.2">
      <c r="AC618" s="5" t="s">
        <v>314</v>
      </c>
      <c r="AD618" s="5" t="s">
        <v>315</v>
      </c>
    </row>
    <row r="619" spans="29:30" x14ac:dyDescent="0.2">
      <c r="AC619" s="5" t="s">
        <v>316</v>
      </c>
      <c r="AD619" s="5" t="s">
        <v>32</v>
      </c>
    </row>
    <row r="620" spans="29:30" x14ac:dyDescent="0.2">
      <c r="AC620" s="5" t="s">
        <v>317</v>
      </c>
      <c r="AD620" s="5" t="s">
        <v>318</v>
      </c>
    </row>
    <row r="621" spans="29:30" x14ac:dyDescent="0.2">
      <c r="AC621" s="5" t="s">
        <v>319</v>
      </c>
      <c r="AD621" s="5" t="s">
        <v>320</v>
      </c>
    </row>
    <row r="622" spans="29:30" x14ac:dyDescent="0.2">
      <c r="AC622" s="5" t="s">
        <v>321</v>
      </c>
      <c r="AD622" s="5" t="s">
        <v>322</v>
      </c>
    </row>
    <row r="623" spans="29:30" x14ac:dyDescent="0.2">
      <c r="AC623" s="5" t="s">
        <v>323</v>
      </c>
      <c r="AD623" s="5" t="s">
        <v>324</v>
      </c>
    </row>
    <row r="624" spans="29:30" x14ac:dyDescent="0.2">
      <c r="AC624" s="5" t="s">
        <v>325</v>
      </c>
      <c r="AD624" s="5" t="s">
        <v>326</v>
      </c>
    </row>
    <row r="625" spans="29:30" x14ac:dyDescent="0.2">
      <c r="AC625" s="5" t="s">
        <v>327</v>
      </c>
      <c r="AD625" s="5" t="s">
        <v>328</v>
      </c>
    </row>
    <row r="626" spans="29:30" x14ac:dyDescent="0.2">
      <c r="AC626" s="5" t="s">
        <v>683</v>
      </c>
      <c r="AD626" s="5" t="s">
        <v>682</v>
      </c>
    </row>
    <row r="627" spans="29:30" x14ac:dyDescent="0.2">
      <c r="AC627" s="5" t="s">
        <v>329</v>
      </c>
      <c r="AD627" s="5" t="s">
        <v>330</v>
      </c>
    </row>
    <row r="628" spans="29:30" x14ac:dyDescent="0.2">
      <c r="AC628" s="5" t="s">
        <v>331</v>
      </c>
      <c r="AD628" s="5" t="s">
        <v>332</v>
      </c>
    </row>
    <row r="629" spans="29:30" x14ac:dyDescent="0.2">
      <c r="AC629" s="5" t="s">
        <v>333</v>
      </c>
      <c r="AD629" s="5" t="s">
        <v>35</v>
      </c>
    </row>
    <row r="630" spans="29:30" x14ac:dyDescent="0.2">
      <c r="AC630" s="5" t="s">
        <v>334</v>
      </c>
      <c r="AD630" s="5" t="s">
        <v>54</v>
      </c>
    </row>
    <row r="631" spans="29:30" x14ac:dyDescent="0.2">
      <c r="AC631" s="5" t="s">
        <v>335</v>
      </c>
      <c r="AD631" s="5" t="s">
        <v>336</v>
      </c>
    </row>
    <row r="632" spans="29:30" x14ac:dyDescent="0.2">
      <c r="AC632" s="5" t="s">
        <v>337</v>
      </c>
      <c r="AD632" s="5" t="s">
        <v>338</v>
      </c>
    </row>
    <row r="633" spans="29:30" x14ac:dyDescent="0.2">
      <c r="AC633" s="5" t="s">
        <v>339</v>
      </c>
      <c r="AD633" s="5" t="s">
        <v>74</v>
      </c>
    </row>
    <row r="634" spans="29:30" x14ac:dyDescent="0.2">
      <c r="AC634" s="5" t="s">
        <v>340</v>
      </c>
      <c r="AD634" s="5" t="s">
        <v>85</v>
      </c>
    </row>
    <row r="635" spans="29:30" x14ac:dyDescent="0.2">
      <c r="AC635" s="5" t="s">
        <v>341</v>
      </c>
      <c r="AD635" s="5" t="s">
        <v>235</v>
      </c>
    </row>
    <row r="636" spans="29:30" x14ac:dyDescent="0.2">
      <c r="AC636" s="5" t="s">
        <v>342</v>
      </c>
      <c r="AD636" s="5" t="s">
        <v>343</v>
      </c>
    </row>
    <row r="637" spans="29:30" x14ac:dyDescent="0.2">
      <c r="AC637" s="5" t="s">
        <v>663</v>
      </c>
      <c r="AD637" s="5" t="s">
        <v>664</v>
      </c>
    </row>
    <row r="638" spans="29:30" x14ac:dyDescent="0.2">
      <c r="AC638" s="5" t="s">
        <v>344</v>
      </c>
      <c r="AD638" s="5" t="s">
        <v>345</v>
      </c>
    </row>
    <row r="639" spans="29:30" x14ac:dyDescent="0.2">
      <c r="AC639" s="5" t="s">
        <v>665</v>
      </c>
      <c r="AD639" s="5" t="s">
        <v>666</v>
      </c>
    </row>
    <row r="640" spans="29:30" x14ac:dyDescent="0.2">
      <c r="AC640" s="5" t="s">
        <v>346</v>
      </c>
      <c r="AD640" s="5" t="s">
        <v>347</v>
      </c>
    </row>
    <row r="641" spans="29:30" x14ac:dyDescent="0.2">
      <c r="AC641" s="5" t="s">
        <v>348</v>
      </c>
      <c r="AD641" s="5" t="s">
        <v>84</v>
      </c>
    </row>
    <row r="642" spans="29:30" x14ac:dyDescent="0.2">
      <c r="AC642" s="5" t="s">
        <v>349</v>
      </c>
      <c r="AD642" s="5" t="s">
        <v>350</v>
      </c>
    </row>
    <row r="643" spans="29:30" x14ac:dyDescent="0.2">
      <c r="AC643" s="5" t="s">
        <v>351</v>
      </c>
      <c r="AD643" s="5" t="s">
        <v>352</v>
      </c>
    </row>
    <row r="644" spans="29:30" x14ac:dyDescent="0.2">
      <c r="AC644" s="5" t="s">
        <v>353</v>
      </c>
      <c r="AD644" s="5" t="s">
        <v>354</v>
      </c>
    </row>
    <row r="645" spans="29:30" x14ac:dyDescent="0.2">
      <c r="AC645" s="5" t="s">
        <v>355</v>
      </c>
      <c r="AD645" s="5" t="s">
        <v>356</v>
      </c>
    </row>
    <row r="646" spans="29:30" x14ac:dyDescent="0.2">
      <c r="AC646" s="5" t="s">
        <v>357</v>
      </c>
      <c r="AD646" s="5" t="s">
        <v>358</v>
      </c>
    </row>
    <row r="647" spans="29:30" x14ac:dyDescent="0.2">
      <c r="AC647" s="5" t="s">
        <v>359</v>
      </c>
      <c r="AD647" s="5" t="s">
        <v>360</v>
      </c>
    </row>
    <row r="648" spans="29:30" x14ac:dyDescent="0.2">
      <c r="AC648" s="5" t="s">
        <v>361</v>
      </c>
      <c r="AD648" s="5" t="s">
        <v>362</v>
      </c>
    </row>
    <row r="649" spans="29:30" x14ac:dyDescent="0.2">
      <c r="AC649" s="5" t="s">
        <v>363</v>
      </c>
      <c r="AD649" s="5" t="s">
        <v>364</v>
      </c>
    </row>
    <row r="650" spans="29:30" x14ac:dyDescent="0.2">
      <c r="AC650" s="5" t="s">
        <v>365</v>
      </c>
      <c r="AD650" s="5" t="s">
        <v>366</v>
      </c>
    </row>
    <row r="651" spans="29:30" x14ac:dyDescent="0.2">
      <c r="AC651" s="5" t="s">
        <v>367</v>
      </c>
      <c r="AD651" s="5" t="s">
        <v>368</v>
      </c>
    </row>
    <row r="652" spans="29:30" x14ac:dyDescent="0.2">
      <c r="AC652" s="5" t="s">
        <v>369</v>
      </c>
      <c r="AD652" s="5" t="s">
        <v>370</v>
      </c>
    </row>
    <row r="653" spans="29:30" x14ac:dyDescent="0.2">
      <c r="AC653" s="5" t="s">
        <v>371</v>
      </c>
      <c r="AD653" s="5" t="s">
        <v>89</v>
      </c>
    </row>
    <row r="654" spans="29:30" x14ac:dyDescent="0.2">
      <c r="AC654" s="5" t="s">
        <v>372</v>
      </c>
      <c r="AD654" s="5" t="s">
        <v>373</v>
      </c>
    </row>
    <row r="655" spans="29:30" x14ac:dyDescent="0.2">
      <c r="AC655" s="5" t="s">
        <v>374</v>
      </c>
      <c r="AD655" s="5" t="s">
        <v>100</v>
      </c>
    </row>
    <row r="656" spans="29:30" x14ac:dyDescent="0.2">
      <c r="AC656" s="5" t="s">
        <v>375</v>
      </c>
      <c r="AD656" s="5" t="s">
        <v>376</v>
      </c>
    </row>
    <row r="657" spans="29:30" x14ac:dyDescent="0.2">
      <c r="AC657" s="5" t="s">
        <v>377</v>
      </c>
      <c r="AD657" s="5" t="s">
        <v>378</v>
      </c>
    </row>
    <row r="658" spans="29:30" x14ac:dyDescent="0.2">
      <c r="AC658" s="5" t="s">
        <v>379</v>
      </c>
      <c r="AD658" s="5" t="s">
        <v>380</v>
      </c>
    </row>
    <row r="659" spans="29:30" x14ac:dyDescent="0.2">
      <c r="AC659" s="5" t="s">
        <v>381</v>
      </c>
      <c r="AD659" s="5" t="s">
        <v>382</v>
      </c>
    </row>
    <row r="660" spans="29:30" x14ac:dyDescent="0.2">
      <c r="AC660" s="5" t="s">
        <v>383</v>
      </c>
      <c r="AD660" s="5" t="s">
        <v>214</v>
      </c>
    </row>
    <row r="661" spans="29:30" x14ac:dyDescent="0.2">
      <c r="AC661" s="5" t="s">
        <v>384</v>
      </c>
      <c r="AD661" s="5" t="s">
        <v>385</v>
      </c>
    </row>
    <row r="662" spans="29:30" x14ac:dyDescent="0.2">
      <c r="AC662" s="5" t="s">
        <v>386</v>
      </c>
      <c r="AD662" s="5" t="s">
        <v>387</v>
      </c>
    </row>
    <row r="663" spans="29:30" x14ac:dyDescent="0.2">
      <c r="AC663" s="5" t="s">
        <v>388</v>
      </c>
      <c r="AD663" s="5" t="s">
        <v>389</v>
      </c>
    </row>
    <row r="664" spans="29:30" x14ac:dyDescent="0.2">
      <c r="AC664" s="5" t="s">
        <v>390</v>
      </c>
      <c r="AD664" s="5" t="s">
        <v>391</v>
      </c>
    </row>
    <row r="665" spans="29:30" x14ac:dyDescent="0.2">
      <c r="AC665" s="5" t="s">
        <v>392</v>
      </c>
      <c r="AD665" s="5" t="s">
        <v>393</v>
      </c>
    </row>
    <row r="666" spans="29:30" x14ac:dyDescent="0.2">
      <c r="AC666" s="5" t="s">
        <v>394</v>
      </c>
      <c r="AD666" s="5" t="s">
        <v>395</v>
      </c>
    </row>
    <row r="667" spans="29:30" x14ac:dyDescent="0.2">
      <c r="AC667" s="5" t="s">
        <v>396</v>
      </c>
      <c r="AD667" s="5" t="s">
        <v>397</v>
      </c>
    </row>
    <row r="668" spans="29:30" x14ac:dyDescent="0.2">
      <c r="AC668" s="5" t="s">
        <v>324</v>
      </c>
      <c r="AD668" s="5" t="s">
        <v>324</v>
      </c>
    </row>
    <row r="669" spans="29:30" x14ac:dyDescent="0.2">
      <c r="AC669" s="5" t="s">
        <v>398</v>
      </c>
      <c r="AD669" s="5" t="s">
        <v>398</v>
      </c>
    </row>
    <row r="670" spans="29:30" x14ac:dyDescent="0.2">
      <c r="AC670" s="5" t="s">
        <v>399</v>
      </c>
      <c r="AD670" s="5" t="s">
        <v>399</v>
      </c>
    </row>
    <row r="671" spans="29:30" x14ac:dyDescent="0.2">
      <c r="AC671" s="5" t="s">
        <v>400</v>
      </c>
      <c r="AD671" s="5" t="s">
        <v>400</v>
      </c>
    </row>
    <row r="672" spans="29:30" x14ac:dyDescent="0.2">
      <c r="AC672" s="5" t="s">
        <v>401</v>
      </c>
      <c r="AD672" s="5" t="s">
        <v>401</v>
      </c>
    </row>
    <row r="673" spans="29:30" x14ac:dyDescent="0.2">
      <c r="AC673" s="5" t="s">
        <v>402</v>
      </c>
      <c r="AD673" s="5" t="s">
        <v>402</v>
      </c>
    </row>
    <row r="674" spans="29:30" x14ac:dyDescent="0.2">
      <c r="AC674" s="5" t="s">
        <v>403</v>
      </c>
      <c r="AD674" s="5" t="s">
        <v>403</v>
      </c>
    </row>
    <row r="675" spans="29:30" x14ac:dyDescent="0.2">
      <c r="AC675" s="5" t="s">
        <v>404</v>
      </c>
      <c r="AD675" s="5" t="s">
        <v>404</v>
      </c>
    </row>
    <row r="676" spans="29:30" x14ac:dyDescent="0.2">
      <c r="AC676" s="5" t="s">
        <v>405</v>
      </c>
      <c r="AD676" s="5" t="s">
        <v>405</v>
      </c>
    </row>
    <row r="677" spans="29:30" x14ac:dyDescent="0.2">
      <c r="AC677" s="5" t="s">
        <v>326</v>
      </c>
      <c r="AD677" s="5" t="s">
        <v>326</v>
      </c>
    </row>
    <row r="678" spans="29:30" x14ac:dyDescent="0.2">
      <c r="AC678" s="5" t="s">
        <v>406</v>
      </c>
      <c r="AD678" s="5" t="s">
        <v>406</v>
      </c>
    </row>
    <row r="679" spans="29:30" x14ac:dyDescent="0.2">
      <c r="AC679" s="5" t="s">
        <v>407</v>
      </c>
      <c r="AD679" s="5" t="s">
        <v>407</v>
      </c>
    </row>
    <row r="680" spans="29:30" x14ac:dyDescent="0.2">
      <c r="AC680" s="5" t="s">
        <v>408</v>
      </c>
      <c r="AD680" s="5" t="s">
        <v>408</v>
      </c>
    </row>
    <row r="681" spans="29:30" x14ac:dyDescent="0.2">
      <c r="AC681" s="5" t="s">
        <v>409</v>
      </c>
      <c r="AD681" s="5" t="s">
        <v>409</v>
      </c>
    </row>
    <row r="682" spans="29:30" x14ac:dyDescent="0.2">
      <c r="AC682" s="5" t="s">
        <v>410</v>
      </c>
      <c r="AD682" s="5" t="s">
        <v>410</v>
      </c>
    </row>
    <row r="683" spans="29:30" x14ac:dyDescent="0.2">
      <c r="AC683" s="5" t="s">
        <v>411</v>
      </c>
      <c r="AD683" s="5" t="s">
        <v>411</v>
      </c>
    </row>
    <row r="684" spans="29:30" x14ac:dyDescent="0.2">
      <c r="AC684" s="5" t="s">
        <v>412</v>
      </c>
      <c r="AD684" s="5" t="s">
        <v>412</v>
      </c>
    </row>
    <row r="685" spans="29:30" x14ac:dyDescent="0.2">
      <c r="AC685" s="5" t="s">
        <v>413</v>
      </c>
      <c r="AD685" s="5" t="s">
        <v>413</v>
      </c>
    </row>
    <row r="686" spans="29:30" x14ac:dyDescent="0.2">
      <c r="AC686" s="5" t="s">
        <v>414</v>
      </c>
      <c r="AD686" s="5" t="s">
        <v>414</v>
      </c>
    </row>
    <row r="687" spans="29:30" x14ac:dyDescent="0.2">
      <c r="AC687" s="5" t="s">
        <v>415</v>
      </c>
      <c r="AD687" s="5" t="s">
        <v>415</v>
      </c>
    </row>
    <row r="688" spans="29:30" x14ac:dyDescent="0.2">
      <c r="AC688" s="5" t="s">
        <v>416</v>
      </c>
      <c r="AD688" s="5" t="s">
        <v>416</v>
      </c>
    </row>
    <row r="689" spans="29:30" x14ac:dyDescent="0.2">
      <c r="AC689" s="5" t="s">
        <v>417</v>
      </c>
      <c r="AD689" s="5" t="s">
        <v>417</v>
      </c>
    </row>
    <row r="690" spans="29:30" x14ac:dyDescent="0.2">
      <c r="AC690" s="5" t="s">
        <v>418</v>
      </c>
      <c r="AD690" s="5" t="s">
        <v>418</v>
      </c>
    </row>
    <row r="691" spans="29:30" x14ac:dyDescent="0.2">
      <c r="AC691" s="5" t="s">
        <v>419</v>
      </c>
      <c r="AD691" s="5" t="s">
        <v>419</v>
      </c>
    </row>
    <row r="692" spans="29:30" x14ac:dyDescent="0.2">
      <c r="AC692" s="5" t="s">
        <v>420</v>
      </c>
      <c r="AD692" s="5" t="s">
        <v>420</v>
      </c>
    </row>
    <row r="693" spans="29:30" x14ac:dyDescent="0.2">
      <c r="AC693" s="5" t="s">
        <v>421</v>
      </c>
      <c r="AD693" s="5" t="s">
        <v>422</v>
      </c>
    </row>
    <row r="694" spans="29:30" x14ac:dyDescent="0.2">
      <c r="AC694" s="5" t="s">
        <v>423</v>
      </c>
      <c r="AD694" s="5" t="s">
        <v>424</v>
      </c>
    </row>
    <row r="695" spans="29:30" x14ac:dyDescent="0.2">
      <c r="AC695" s="5" t="s">
        <v>425</v>
      </c>
      <c r="AD695" s="5" t="s">
        <v>425</v>
      </c>
    </row>
    <row r="696" spans="29:30" x14ac:dyDescent="0.2">
      <c r="AC696" s="5" t="s">
        <v>426</v>
      </c>
      <c r="AD696" s="5" t="s">
        <v>426</v>
      </c>
    </row>
    <row r="697" spans="29:30" x14ac:dyDescent="0.2">
      <c r="AC697" s="5" t="s">
        <v>427</v>
      </c>
      <c r="AD697" s="5" t="s">
        <v>427</v>
      </c>
    </row>
    <row r="698" spans="29:30" x14ac:dyDescent="0.2">
      <c r="AC698" s="5" t="s">
        <v>428</v>
      </c>
      <c r="AD698" s="5" t="s">
        <v>428</v>
      </c>
    </row>
    <row r="699" spans="29:30" x14ac:dyDescent="0.2">
      <c r="AC699" s="5" t="s">
        <v>429</v>
      </c>
      <c r="AD699" s="5" t="s">
        <v>429</v>
      </c>
    </row>
    <row r="700" spans="29:30" x14ac:dyDescent="0.2">
      <c r="AC700" s="5" t="s">
        <v>430</v>
      </c>
      <c r="AD700" s="5" t="s">
        <v>430</v>
      </c>
    </row>
    <row r="701" spans="29:30" x14ac:dyDescent="0.2">
      <c r="AC701" s="5" t="s">
        <v>431</v>
      </c>
      <c r="AD701" s="5" t="s">
        <v>431</v>
      </c>
    </row>
    <row r="702" spans="29:30" x14ac:dyDescent="0.2">
      <c r="AC702" s="5" t="s">
        <v>432</v>
      </c>
      <c r="AD702" s="5" t="s">
        <v>432</v>
      </c>
    </row>
    <row r="703" spans="29:30" x14ac:dyDescent="0.2">
      <c r="AC703" s="5" t="s">
        <v>433</v>
      </c>
      <c r="AD703" s="5" t="s">
        <v>433</v>
      </c>
    </row>
    <row r="704" spans="29:30" x14ac:dyDescent="0.2">
      <c r="AC704" s="5" t="s">
        <v>434</v>
      </c>
      <c r="AD704" s="5" t="s">
        <v>434</v>
      </c>
    </row>
    <row r="705" spans="29:30" x14ac:dyDescent="0.2">
      <c r="AC705" s="5" t="s">
        <v>435</v>
      </c>
      <c r="AD705" s="5" t="s">
        <v>435</v>
      </c>
    </row>
    <row r="706" spans="29:30" x14ac:dyDescent="0.2">
      <c r="AC706" s="5" t="s">
        <v>436</v>
      </c>
      <c r="AD706" s="5" t="s">
        <v>436</v>
      </c>
    </row>
    <row r="707" spans="29:30" x14ac:dyDescent="0.2">
      <c r="AC707" s="5" t="s">
        <v>437</v>
      </c>
      <c r="AD707" s="5" t="s">
        <v>437</v>
      </c>
    </row>
    <row r="708" spans="29:30" x14ac:dyDescent="0.2">
      <c r="AC708" s="5" t="s">
        <v>328</v>
      </c>
      <c r="AD708" s="5" t="s">
        <v>328</v>
      </c>
    </row>
    <row r="709" spans="29:30" x14ac:dyDescent="0.2">
      <c r="AC709" s="5" t="s">
        <v>438</v>
      </c>
      <c r="AD709" s="5" t="s">
        <v>438</v>
      </c>
    </row>
    <row r="710" spans="29:30" x14ac:dyDescent="0.2">
      <c r="AC710" s="5" t="s">
        <v>682</v>
      </c>
      <c r="AD710" s="5" t="s">
        <v>682</v>
      </c>
    </row>
    <row r="711" spans="29:30" x14ac:dyDescent="0.2">
      <c r="AC711" s="5" t="s">
        <v>439</v>
      </c>
      <c r="AD711" s="5" t="s">
        <v>439</v>
      </c>
    </row>
    <row r="712" spans="29:30" x14ac:dyDescent="0.2">
      <c r="AC712" s="5" t="s">
        <v>440</v>
      </c>
      <c r="AD712" s="5" t="s">
        <v>440</v>
      </c>
    </row>
    <row r="713" spans="29:30" x14ac:dyDescent="0.2">
      <c r="AC713" s="5" t="s">
        <v>441</v>
      </c>
      <c r="AD713" s="5" t="s">
        <v>441</v>
      </c>
    </row>
    <row r="714" spans="29:30" x14ac:dyDescent="0.2">
      <c r="AC714" s="5" t="s">
        <v>442</v>
      </c>
      <c r="AD714" s="5" t="s">
        <v>442</v>
      </c>
    </row>
    <row r="715" spans="29:30" x14ac:dyDescent="0.2">
      <c r="AC715" s="5" t="s">
        <v>443</v>
      </c>
      <c r="AD715" s="5" t="s">
        <v>443</v>
      </c>
    </row>
    <row r="716" spans="29:30" x14ac:dyDescent="0.2">
      <c r="AC716" s="5" t="s">
        <v>444</v>
      </c>
      <c r="AD716" s="5" t="s">
        <v>444</v>
      </c>
    </row>
    <row r="717" spans="29:30" x14ac:dyDescent="0.2">
      <c r="AC717" s="5" t="s">
        <v>445</v>
      </c>
      <c r="AD717" s="5" t="s">
        <v>445</v>
      </c>
    </row>
    <row r="718" spans="29:30" x14ac:dyDescent="0.2">
      <c r="AC718" s="5" t="s">
        <v>446</v>
      </c>
      <c r="AD718" s="5" t="s">
        <v>446</v>
      </c>
    </row>
    <row r="719" spans="29:30" x14ac:dyDescent="0.2">
      <c r="AC719" s="5" t="s">
        <v>447</v>
      </c>
      <c r="AD719" s="5" t="s">
        <v>447</v>
      </c>
    </row>
    <row r="720" spans="29:30" x14ac:dyDescent="0.2">
      <c r="AC720" s="5" t="s">
        <v>448</v>
      </c>
      <c r="AD720" s="5" t="s">
        <v>448</v>
      </c>
    </row>
    <row r="721" spans="29:30" x14ac:dyDescent="0.2">
      <c r="AC721" s="5" t="s">
        <v>449</v>
      </c>
      <c r="AD721" s="5" t="s">
        <v>449</v>
      </c>
    </row>
    <row r="722" spans="29:30" x14ac:dyDescent="0.2">
      <c r="AC722" s="5" t="s">
        <v>450</v>
      </c>
      <c r="AD722" s="5" t="s">
        <v>450</v>
      </c>
    </row>
    <row r="723" spans="29:30" x14ac:dyDescent="0.2">
      <c r="AC723" s="5" t="s">
        <v>667</v>
      </c>
      <c r="AD723" s="5" t="s">
        <v>667</v>
      </c>
    </row>
    <row r="724" spans="29:30" x14ac:dyDescent="0.2">
      <c r="AC724" s="5" t="s">
        <v>451</v>
      </c>
      <c r="AD724" s="5" t="s">
        <v>451</v>
      </c>
    </row>
    <row r="725" spans="29:30" x14ac:dyDescent="0.2">
      <c r="AC725" s="5" t="s">
        <v>452</v>
      </c>
      <c r="AD725" s="5" t="s">
        <v>452</v>
      </c>
    </row>
    <row r="726" spans="29:30" x14ac:dyDescent="0.2">
      <c r="AC726" s="5" t="s">
        <v>332</v>
      </c>
      <c r="AD726" s="5" t="s">
        <v>332</v>
      </c>
    </row>
    <row r="727" spans="29:30" x14ac:dyDescent="0.2">
      <c r="AC727" s="5" t="s">
        <v>453</v>
      </c>
      <c r="AD727" s="5" t="s">
        <v>453</v>
      </c>
    </row>
    <row r="728" spans="29:30" x14ac:dyDescent="0.2">
      <c r="AC728" s="5" t="s">
        <v>454</v>
      </c>
      <c r="AD728" s="5" t="s">
        <v>454</v>
      </c>
    </row>
    <row r="729" spans="29:30" x14ac:dyDescent="0.2">
      <c r="AC729" s="5" t="s">
        <v>455</v>
      </c>
      <c r="AD729" s="5" t="s">
        <v>455</v>
      </c>
    </row>
    <row r="730" spans="29:30" x14ac:dyDescent="0.2">
      <c r="AC730" s="5" t="s">
        <v>456</v>
      </c>
      <c r="AD730" s="5" t="s">
        <v>456</v>
      </c>
    </row>
    <row r="731" spans="29:30" x14ac:dyDescent="0.2">
      <c r="AC731" s="5" t="s">
        <v>35</v>
      </c>
      <c r="AD731" s="5" t="s">
        <v>35</v>
      </c>
    </row>
    <row r="732" spans="29:30" x14ac:dyDescent="0.2">
      <c r="AC732" s="5" t="s">
        <v>54</v>
      </c>
      <c r="AD732" s="5" t="s">
        <v>54</v>
      </c>
    </row>
    <row r="733" spans="29:30" x14ac:dyDescent="0.2">
      <c r="AC733" s="5" t="s">
        <v>457</v>
      </c>
      <c r="AD733" s="5" t="s">
        <v>457</v>
      </c>
    </row>
    <row r="734" spans="29:30" x14ac:dyDescent="0.2">
      <c r="AC734" s="5" t="s">
        <v>458</v>
      </c>
      <c r="AD734" s="5" t="s">
        <v>458</v>
      </c>
    </row>
    <row r="735" spans="29:30" x14ac:dyDescent="0.2">
      <c r="AC735" s="5" t="s">
        <v>459</v>
      </c>
      <c r="AD735" s="5" t="s">
        <v>459</v>
      </c>
    </row>
    <row r="736" spans="29:30" x14ac:dyDescent="0.2">
      <c r="AC736" s="5" t="s">
        <v>460</v>
      </c>
      <c r="AD736" s="5" t="s">
        <v>460</v>
      </c>
    </row>
    <row r="737" spans="29:30" x14ac:dyDescent="0.2">
      <c r="AC737" s="5" t="s">
        <v>461</v>
      </c>
      <c r="AD737" s="5" t="s">
        <v>461</v>
      </c>
    </row>
    <row r="738" spans="29:30" x14ac:dyDescent="0.2">
      <c r="AC738" s="5" t="s">
        <v>462</v>
      </c>
      <c r="AD738" s="5" t="s">
        <v>462</v>
      </c>
    </row>
    <row r="739" spans="29:30" x14ac:dyDescent="0.2">
      <c r="AC739" s="5" t="s">
        <v>463</v>
      </c>
      <c r="AD739" s="5" t="s">
        <v>463</v>
      </c>
    </row>
    <row r="740" spans="29:30" x14ac:dyDescent="0.2">
      <c r="AC740" s="5" t="s">
        <v>464</v>
      </c>
      <c r="AD740" s="5" t="s">
        <v>464</v>
      </c>
    </row>
    <row r="741" spans="29:30" x14ac:dyDescent="0.2">
      <c r="AC741" s="5" t="s">
        <v>336</v>
      </c>
      <c r="AD741" s="5" t="s">
        <v>336</v>
      </c>
    </row>
    <row r="742" spans="29:30" x14ac:dyDescent="0.2">
      <c r="AC742" s="5" t="s">
        <v>465</v>
      </c>
      <c r="AD742" s="5" t="s">
        <v>465</v>
      </c>
    </row>
    <row r="743" spans="29:30" x14ac:dyDescent="0.2">
      <c r="AC743" s="5" t="s">
        <v>466</v>
      </c>
      <c r="AD743" s="5" t="s">
        <v>466</v>
      </c>
    </row>
    <row r="744" spans="29:30" x14ac:dyDescent="0.2">
      <c r="AC744" s="5" t="s">
        <v>467</v>
      </c>
      <c r="AD744" s="5" t="s">
        <v>467</v>
      </c>
    </row>
    <row r="745" spans="29:30" x14ac:dyDescent="0.2">
      <c r="AC745" s="5" t="s">
        <v>468</v>
      </c>
      <c r="AD745" s="5" t="s">
        <v>468</v>
      </c>
    </row>
    <row r="746" spans="29:30" x14ac:dyDescent="0.2">
      <c r="AC746" s="5" t="s">
        <v>469</v>
      </c>
      <c r="AD746" s="5" t="s">
        <v>469</v>
      </c>
    </row>
    <row r="747" spans="29:30" x14ac:dyDescent="0.2">
      <c r="AC747" s="5" t="s">
        <v>470</v>
      </c>
      <c r="AD747" s="5" t="s">
        <v>470</v>
      </c>
    </row>
    <row r="748" spans="29:30" x14ac:dyDescent="0.2">
      <c r="AC748" s="5" t="s">
        <v>74</v>
      </c>
      <c r="AD748" s="5" t="s">
        <v>74</v>
      </c>
    </row>
    <row r="749" spans="29:30" x14ac:dyDescent="0.2">
      <c r="AC749" s="5" t="s">
        <v>471</v>
      </c>
      <c r="AD749" s="5" t="s">
        <v>471</v>
      </c>
    </row>
    <row r="750" spans="29:30" x14ac:dyDescent="0.2">
      <c r="AC750" s="5" t="s">
        <v>472</v>
      </c>
      <c r="AD750" s="5" t="s">
        <v>472</v>
      </c>
    </row>
    <row r="751" spans="29:30" x14ac:dyDescent="0.2">
      <c r="AC751" s="5" t="s">
        <v>473</v>
      </c>
      <c r="AD751" s="5" t="s">
        <v>473</v>
      </c>
    </row>
    <row r="752" spans="29:30" x14ac:dyDescent="0.2">
      <c r="AC752" s="5" t="s">
        <v>474</v>
      </c>
      <c r="AD752" s="5" t="s">
        <v>474</v>
      </c>
    </row>
    <row r="753" spans="29:30" x14ac:dyDescent="0.2">
      <c r="AC753" s="5" t="s">
        <v>475</v>
      </c>
      <c r="AD753" s="5" t="s">
        <v>475</v>
      </c>
    </row>
    <row r="754" spans="29:30" x14ac:dyDescent="0.2">
      <c r="AC754" s="5" t="s">
        <v>476</v>
      </c>
      <c r="AD754" s="5" t="s">
        <v>476</v>
      </c>
    </row>
    <row r="755" spans="29:30" x14ac:dyDescent="0.2">
      <c r="AC755" s="5" t="s">
        <v>477</v>
      </c>
      <c r="AD755" s="5" t="s">
        <v>477</v>
      </c>
    </row>
    <row r="756" spans="29:30" x14ac:dyDescent="0.2">
      <c r="AC756" s="5" t="s">
        <v>478</v>
      </c>
      <c r="AD756" s="5" t="s">
        <v>478</v>
      </c>
    </row>
    <row r="757" spans="29:30" x14ac:dyDescent="0.2">
      <c r="AC757" s="5" t="s">
        <v>479</v>
      </c>
      <c r="AD757" s="5" t="s">
        <v>479</v>
      </c>
    </row>
    <row r="758" spans="29:30" x14ac:dyDescent="0.2">
      <c r="AC758" s="5" t="s">
        <v>480</v>
      </c>
      <c r="AD758" s="5" t="s">
        <v>480</v>
      </c>
    </row>
    <row r="759" spans="29:30" x14ac:dyDescent="0.2">
      <c r="AC759" s="5" t="s">
        <v>481</v>
      </c>
      <c r="AD759" s="5" t="s">
        <v>481</v>
      </c>
    </row>
    <row r="760" spans="29:30" x14ac:dyDescent="0.2">
      <c r="AC760" s="5" t="s">
        <v>482</v>
      </c>
      <c r="AD760" s="5" t="s">
        <v>482</v>
      </c>
    </row>
    <row r="761" spans="29:30" x14ac:dyDescent="0.2">
      <c r="AC761" s="5" t="s">
        <v>483</v>
      </c>
      <c r="AD761" s="5" t="s">
        <v>483</v>
      </c>
    </row>
    <row r="762" spans="29:30" x14ac:dyDescent="0.2">
      <c r="AC762" s="5" t="s">
        <v>484</v>
      </c>
      <c r="AD762" s="5" t="s">
        <v>484</v>
      </c>
    </row>
    <row r="763" spans="29:30" x14ac:dyDescent="0.2">
      <c r="AC763" s="5" t="s">
        <v>485</v>
      </c>
      <c r="AD763" s="5" t="s">
        <v>485</v>
      </c>
    </row>
    <row r="764" spans="29:30" x14ac:dyDescent="0.2">
      <c r="AC764" s="5" t="s">
        <v>486</v>
      </c>
      <c r="AD764" s="5" t="s">
        <v>486</v>
      </c>
    </row>
    <row r="765" spans="29:30" x14ac:dyDescent="0.2">
      <c r="AC765" s="5" t="s">
        <v>487</v>
      </c>
      <c r="AD765" s="5" t="s">
        <v>487</v>
      </c>
    </row>
    <row r="766" spans="29:30" x14ac:dyDescent="0.2">
      <c r="AC766" s="5" t="s">
        <v>488</v>
      </c>
      <c r="AD766" s="5" t="s">
        <v>488</v>
      </c>
    </row>
    <row r="767" spans="29:30" x14ac:dyDescent="0.2">
      <c r="AC767" s="5" t="s">
        <v>489</v>
      </c>
      <c r="AD767" s="5" t="s">
        <v>489</v>
      </c>
    </row>
    <row r="768" spans="29:30" x14ac:dyDescent="0.2">
      <c r="AC768" s="5" t="s">
        <v>490</v>
      </c>
      <c r="AD768" s="13" t="s">
        <v>490</v>
      </c>
    </row>
    <row r="769" spans="29:30" x14ac:dyDescent="0.2">
      <c r="AC769" s="5" t="s">
        <v>85</v>
      </c>
      <c r="AD769" s="5" t="s">
        <v>85</v>
      </c>
    </row>
    <row r="770" spans="29:30" x14ac:dyDescent="0.2">
      <c r="AC770" s="5" t="s">
        <v>491</v>
      </c>
      <c r="AD770" s="5" t="s">
        <v>491</v>
      </c>
    </row>
    <row r="771" spans="29:30" x14ac:dyDescent="0.2">
      <c r="AC771" s="5" t="s">
        <v>235</v>
      </c>
      <c r="AD771" s="5" t="s">
        <v>235</v>
      </c>
    </row>
    <row r="772" spans="29:30" x14ac:dyDescent="0.2">
      <c r="AC772" s="5" t="s">
        <v>492</v>
      </c>
      <c r="AD772" s="5" t="s">
        <v>492</v>
      </c>
    </row>
    <row r="773" spans="29:30" x14ac:dyDescent="0.2">
      <c r="AC773" s="5" t="s">
        <v>70</v>
      </c>
      <c r="AD773" s="5" t="s">
        <v>70</v>
      </c>
    </row>
    <row r="774" spans="29:30" x14ac:dyDescent="0.2">
      <c r="AC774" s="5" t="s">
        <v>664</v>
      </c>
      <c r="AD774" s="5" t="s">
        <v>664</v>
      </c>
    </row>
    <row r="775" spans="29:30" x14ac:dyDescent="0.2">
      <c r="AC775" s="5" t="s">
        <v>73</v>
      </c>
      <c r="AD775" s="5" t="s">
        <v>73</v>
      </c>
    </row>
    <row r="776" spans="29:30" x14ac:dyDescent="0.2">
      <c r="AC776" s="5" t="s">
        <v>493</v>
      </c>
      <c r="AD776" s="5" t="s">
        <v>493</v>
      </c>
    </row>
    <row r="777" spans="29:30" x14ac:dyDescent="0.2">
      <c r="AC777" s="5" t="s">
        <v>494</v>
      </c>
      <c r="AD777" s="5" t="s">
        <v>494</v>
      </c>
    </row>
    <row r="778" spans="29:30" x14ac:dyDescent="0.2">
      <c r="AC778" s="5" t="s">
        <v>495</v>
      </c>
      <c r="AD778" s="5" t="s">
        <v>495</v>
      </c>
    </row>
    <row r="779" spans="29:30" x14ac:dyDescent="0.2">
      <c r="AC779" s="5" t="s">
        <v>496</v>
      </c>
      <c r="AD779" s="5" t="s">
        <v>496</v>
      </c>
    </row>
    <row r="780" spans="29:30" x14ac:dyDescent="0.2">
      <c r="AC780" s="5" t="s">
        <v>497</v>
      </c>
      <c r="AD780" s="5" t="s">
        <v>497</v>
      </c>
    </row>
    <row r="781" spans="29:30" x14ac:dyDescent="0.2">
      <c r="AC781" s="5" t="s">
        <v>498</v>
      </c>
      <c r="AD781" s="5" t="s">
        <v>498</v>
      </c>
    </row>
    <row r="782" spans="29:30" x14ac:dyDescent="0.2">
      <c r="AC782" s="5" t="s">
        <v>499</v>
      </c>
      <c r="AD782" s="5" t="s">
        <v>499</v>
      </c>
    </row>
    <row r="783" spans="29:30" x14ac:dyDescent="0.2">
      <c r="AC783" s="5" t="s">
        <v>500</v>
      </c>
      <c r="AD783" s="5" t="s">
        <v>500</v>
      </c>
    </row>
    <row r="784" spans="29:30" x14ac:dyDescent="0.2">
      <c r="AC784" s="5" t="s">
        <v>501</v>
      </c>
      <c r="AD784" s="5" t="s">
        <v>501</v>
      </c>
    </row>
    <row r="785" spans="29:30" x14ac:dyDescent="0.2">
      <c r="AC785" s="5" t="s">
        <v>502</v>
      </c>
      <c r="AD785" s="5" t="s">
        <v>502</v>
      </c>
    </row>
    <row r="786" spans="29:30" x14ac:dyDescent="0.2">
      <c r="AC786" s="5" t="s">
        <v>503</v>
      </c>
      <c r="AD786" s="5" t="s">
        <v>503</v>
      </c>
    </row>
    <row r="787" spans="29:30" x14ac:dyDescent="0.2">
      <c r="AC787" s="5" t="s">
        <v>504</v>
      </c>
      <c r="AD787" s="5" t="s">
        <v>504</v>
      </c>
    </row>
    <row r="788" spans="29:30" x14ac:dyDescent="0.2">
      <c r="AC788" s="5" t="s">
        <v>505</v>
      </c>
      <c r="AD788" s="5" t="s">
        <v>505</v>
      </c>
    </row>
    <row r="789" spans="29:30" x14ac:dyDescent="0.2">
      <c r="AC789" s="5" t="s">
        <v>345</v>
      </c>
      <c r="AD789" s="5" t="s">
        <v>345</v>
      </c>
    </row>
    <row r="790" spans="29:30" x14ac:dyDescent="0.2">
      <c r="AC790" s="5" t="s">
        <v>506</v>
      </c>
      <c r="AD790" s="5" t="s">
        <v>506</v>
      </c>
    </row>
    <row r="791" spans="29:30" x14ac:dyDescent="0.2">
      <c r="AC791" s="5" t="s">
        <v>507</v>
      </c>
      <c r="AD791" s="5" t="s">
        <v>507</v>
      </c>
    </row>
    <row r="792" spans="29:30" x14ac:dyDescent="0.2">
      <c r="AC792" s="5" t="s">
        <v>508</v>
      </c>
      <c r="AD792" s="5" t="s">
        <v>508</v>
      </c>
    </row>
    <row r="793" spans="29:30" x14ac:dyDescent="0.2">
      <c r="AC793" s="5" t="s">
        <v>509</v>
      </c>
      <c r="AD793" s="5" t="s">
        <v>509</v>
      </c>
    </row>
    <row r="794" spans="29:30" x14ac:dyDescent="0.2">
      <c r="AC794" s="5" t="s">
        <v>668</v>
      </c>
      <c r="AD794" s="5" t="s">
        <v>668</v>
      </c>
    </row>
    <row r="795" spans="29:30" x14ac:dyDescent="0.2">
      <c r="AC795" s="5" t="s">
        <v>510</v>
      </c>
      <c r="AD795" s="5" t="s">
        <v>510</v>
      </c>
    </row>
    <row r="796" spans="29:30" x14ac:dyDescent="0.2">
      <c r="AC796" s="5" t="s">
        <v>511</v>
      </c>
      <c r="AD796" s="5" t="s">
        <v>511</v>
      </c>
    </row>
    <row r="797" spans="29:30" x14ac:dyDescent="0.2">
      <c r="AC797" s="5" t="s">
        <v>512</v>
      </c>
      <c r="AD797" s="5" t="s">
        <v>512</v>
      </c>
    </row>
    <row r="798" spans="29:30" x14ac:dyDescent="0.2">
      <c r="AC798" s="5" t="s">
        <v>513</v>
      </c>
      <c r="AD798" s="5" t="s">
        <v>513</v>
      </c>
    </row>
    <row r="799" spans="29:30" x14ac:dyDescent="0.2">
      <c r="AC799" s="5" t="s">
        <v>514</v>
      </c>
      <c r="AD799" s="5" t="s">
        <v>514</v>
      </c>
    </row>
    <row r="800" spans="29:30" x14ac:dyDescent="0.2">
      <c r="AC800" s="5" t="s">
        <v>93</v>
      </c>
      <c r="AD800" s="5" t="s">
        <v>93</v>
      </c>
    </row>
    <row r="801" spans="29:30" x14ac:dyDescent="0.2">
      <c r="AC801" s="5" t="s">
        <v>515</v>
      </c>
      <c r="AD801" s="5" t="s">
        <v>515</v>
      </c>
    </row>
    <row r="802" spans="29:30" x14ac:dyDescent="0.2">
      <c r="AC802" s="5" t="s">
        <v>516</v>
      </c>
      <c r="AD802" s="5" t="s">
        <v>516</v>
      </c>
    </row>
    <row r="803" spans="29:30" x14ac:dyDescent="0.2">
      <c r="AC803" s="5" t="s">
        <v>352</v>
      </c>
      <c r="AD803" s="5" t="s">
        <v>352</v>
      </c>
    </row>
    <row r="804" spans="29:30" x14ac:dyDescent="0.2">
      <c r="AC804" s="5" t="s">
        <v>517</v>
      </c>
      <c r="AD804" s="5" t="s">
        <v>517</v>
      </c>
    </row>
    <row r="805" spans="29:30" x14ac:dyDescent="0.2">
      <c r="AC805" s="5" t="s">
        <v>518</v>
      </c>
      <c r="AD805" s="5" t="s">
        <v>518</v>
      </c>
    </row>
    <row r="806" spans="29:30" x14ac:dyDescent="0.2">
      <c r="AC806" s="5" t="s">
        <v>99</v>
      </c>
      <c r="AD806" s="5" t="s">
        <v>99</v>
      </c>
    </row>
    <row r="807" spans="29:30" x14ac:dyDescent="0.2">
      <c r="AC807" s="5" t="s">
        <v>519</v>
      </c>
      <c r="AD807" s="5" t="s">
        <v>519</v>
      </c>
    </row>
    <row r="808" spans="29:30" x14ac:dyDescent="0.2">
      <c r="AC808" s="5" t="s">
        <v>520</v>
      </c>
      <c r="AD808" s="5" t="s">
        <v>520</v>
      </c>
    </row>
    <row r="809" spans="29:30" x14ac:dyDescent="0.2">
      <c r="AC809" s="5" t="s">
        <v>521</v>
      </c>
      <c r="AD809" s="5" t="s">
        <v>521</v>
      </c>
    </row>
    <row r="810" spans="29:30" x14ac:dyDescent="0.2">
      <c r="AC810" s="5" t="s">
        <v>522</v>
      </c>
      <c r="AD810" s="5" t="s">
        <v>522</v>
      </c>
    </row>
    <row r="811" spans="29:30" x14ac:dyDescent="0.2">
      <c r="AC811" s="5" t="s">
        <v>523</v>
      </c>
      <c r="AD811" s="5" t="s">
        <v>523</v>
      </c>
    </row>
    <row r="812" spans="29:30" x14ac:dyDescent="0.2">
      <c r="AC812" s="5" t="s">
        <v>524</v>
      </c>
      <c r="AD812" s="5" t="s">
        <v>524</v>
      </c>
    </row>
    <row r="813" spans="29:30" x14ac:dyDescent="0.2">
      <c r="AC813" s="5" t="s">
        <v>525</v>
      </c>
      <c r="AD813" s="5" t="s">
        <v>525</v>
      </c>
    </row>
    <row r="814" spans="29:30" x14ac:dyDescent="0.2">
      <c r="AC814" s="5" t="s">
        <v>526</v>
      </c>
      <c r="AD814" s="5" t="s">
        <v>526</v>
      </c>
    </row>
    <row r="815" spans="29:30" x14ac:dyDescent="0.2">
      <c r="AC815" s="5" t="s">
        <v>527</v>
      </c>
      <c r="AD815" s="5" t="s">
        <v>527</v>
      </c>
    </row>
    <row r="816" spans="29:30" x14ac:dyDescent="0.2">
      <c r="AC816" s="5" t="s">
        <v>528</v>
      </c>
      <c r="AD816" s="5" t="s">
        <v>528</v>
      </c>
    </row>
    <row r="817" spans="29:30" x14ac:dyDescent="0.2">
      <c r="AC817" s="5" t="s">
        <v>529</v>
      </c>
      <c r="AD817" s="5" t="s">
        <v>529</v>
      </c>
    </row>
    <row r="818" spans="29:30" x14ac:dyDescent="0.2">
      <c r="AC818" s="5" t="s">
        <v>530</v>
      </c>
      <c r="AD818" s="5" t="s">
        <v>530</v>
      </c>
    </row>
    <row r="819" spans="29:30" x14ac:dyDescent="0.2">
      <c r="AC819" s="5" t="s">
        <v>531</v>
      </c>
      <c r="AD819" s="5" t="s">
        <v>531</v>
      </c>
    </row>
    <row r="820" spans="29:30" x14ac:dyDescent="0.2">
      <c r="AC820" s="5" t="s">
        <v>532</v>
      </c>
      <c r="AD820" s="5" t="s">
        <v>532</v>
      </c>
    </row>
    <row r="821" spans="29:30" x14ac:dyDescent="0.2">
      <c r="AC821" s="5" t="s">
        <v>533</v>
      </c>
      <c r="AD821" s="5" t="s">
        <v>533</v>
      </c>
    </row>
    <row r="822" spans="29:30" x14ac:dyDescent="0.2">
      <c r="AC822" s="5" t="s">
        <v>534</v>
      </c>
      <c r="AD822" s="5" t="s">
        <v>534</v>
      </c>
    </row>
    <row r="823" spans="29:30" x14ac:dyDescent="0.2">
      <c r="AC823" s="5" t="s">
        <v>535</v>
      </c>
      <c r="AD823" s="5" t="s">
        <v>535</v>
      </c>
    </row>
    <row r="824" spans="29:30" x14ac:dyDescent="0.2">
      <c r="AC824" s="5" t="s">
        <v>536</v>
      </c>
      <c r="AD824" s="5" t="s">
        <v>536</v>
      </c>
    </row>
    <row r="825" spans="29:30" x14ac:dyDescent="0.2">
      <c r="AC825" s="5" t="s">
        <v>537</v>
      </c>
      <c r="AD825" s="5" t="s">
        <v>537</v>
      </c>
    </row>
    <row r="826" spans="29:30" x14ac:dyDescent="0.2">
      <c r="AC826" s="5" t="s">
        <v>538</v>
      </c>
      <c r="AD826" s="5" t="s">
        <v>538</v>
      </c>
    </row>
    <row r="827" spans="29:30" x14ac:dyDescent="0.2">
      <c r="AC827" s="5" t="s">
        <v>539</v>
      </c>
      <c r="AD827" s="5" t="s">
        <v>539</v>
      </c>
    </row>
    <row r="828" spans="29:30" x14ac:dyDescent="0.2">
      <c r="AC828" s="5" t="s">
        <v>540</v>
      </c>
      <c r="AD828" s="5" t="s">
        <v>540</v>
      </c>
    </row>
    <row r="829" spans="29:30" x14ac:dyDescent="0.2">
      <c r="AC829" s="5" t="s">
        <v>541</v>
      </c>
      <c r="AD829" s="5" t="s">
        <v>541</v>
      </c>
    </row>
    <row r="830" spans="29:30" x14ac:dyDescent="0.2">
      <c r="AC830" s="5" t="s">
        <v>542</v>
      </c>
      <c r="AD830" s="5" t="s">
        <v>542</v>
      </c>
    </row>
    <row r="831" spans="29:30" x14ac:dyDescent="0.2">
      <c r="AC831" s="5" t="s">
        <v>543</v>
      </c>
      <c r="AD831" s="5" t="s">
        <v>543</v>
      </c>
    </row>
    <row r="832" spans="29:30" x14ac:dyDescent="0.2">
      <c r="AC832" s="5" t="s">
        <v>354</v>
      </c>
      <c r="AD832" s="5" t="s">
        <v>354</v>
      </c>
    </row>
    <row r="833" spans="29:30" x14ac:dyDescent="0.2">
      <c r="AC833" s="5" t="s">
        <v>544</v>
      </c>
      <c r="AD833" s="5" t="s">
        <v>544</v>
      </c>
    </row>
    <row r="834" spans="29:30" x14ac:dyDescent="0.2">
      <c r="AC834" s="5" t="s">
        <v>127</v>
      </c>
      <c r="AD834" s="5" t="s">
        <v>127</v>
      </c>
    </row>
    <row r="835" spans="29:30" x14ac:dyDescent="0.2">
      <c r="AC835" s="5" t="s">
        <v>545</v>
      </c>
      <c r="AD835" s="5" t="s">
        <v>545</v>
      </c>
    </row>
    <row r="836" spans="29:30" x14ac:dyDescent="0.2">
      <c r="AC836" s="5" t="s">
        <v>546</v>
      </c>
      <c r="AD836" s="5" t="s">
        <v>546</v>
      </c>
    </row>
    <row r="837" spans="29:30" x14ac:dyDescent="0.2">
      <c r="AC837" s="5" t="s">
        <v>547</v>
      </c>
      <c r="AD837" s="5" t="s">
        <v>547</v>
      </c>
    </row>
    <row r="838" spans="29:30" x14ac:dyDescent="0.2">
      <c r="AC838" s="5" t="s">
        <v>548</v>
      </c>
      <c r="AD838" s="5" t="s">
        <v>548</v>
      </c>
    </row>
    <row r="839" spans="29:30" x14ac:dyDescent="0.2">
      <c r="AC839" s="5" t="s">
        <v>549</v>
      </c>
      <c r="AD839" s="5" t="s">
        <v>549</v>
      </c>
    </row>
    <row r="840" spans="29:30" x14ac:dyDescent="0.2">
      <c r="AC840" s="5" t="s">
        <v>358</v>
      </c>
      <c r="AD840" s="5" t="s">
        <v>358</v>
      </c>
    </row>
    <row r="841" spans="29:30" x14ac:dyDescent="0.2">
      <c r="AC841" s="5" t="s">
        <v>550</v>
      </c>
      <c r="AD841" s="5" t="s">
        <v>550</v>
      </c>
    </row>
    <row r="842" spans="29:30" x14ac:dyDescent="0.2">
      <c r="AC842" s="5" t="s">
        <v>669</v>
      </c>
      <c r="AD842" s="5" t="s">
        <v>669</v>
      </c>
    </row>
    <row r="843" spans="29:30" x14ac:dyDescent="0.2">
      <c r="AC843" s="5" t="s">
        <v>551</v>
      </c>
      <c r="AD843" s="13" t="s">
        <v>551</v>
      </c>
    </row>
    <row r="844" spans="29:30" x14ac:dyDescent="0.2">
      <c r="AC844" s="5" t="s">
        <v>552</v>
      </c>
      <c r="AD844" s="5" t="s">
        <v>552</v>
      </c>
    </row>
    <row r="845" spans="29:30" x14ac:dyDescent="0.2">
      <c r="AC845" s="5" t="s">
        <v>553</v>
      </c>
      <c r="AD845" s="5" t="s">
        <v>553</v>
      </c>
    </row>
    <row r="846" spans="29:30" x14ac:dyDescent="0.2">
      <c r="AC846" s="5" t="s">
        <v>554</v>
      </c>
      <c r="AD846" s="5" t="s">
        <v>554</v>
      </c>
    </row>
    <row r="847" spans="29:30" x14ac:dyDescent="0.2">
      <c r="AC847" s="5" t="s">
        <v>555</v>
      </c>
      <c r="AD847" s="5" t="s">
        <v>555</v>
      </c>
    </row>
    <row r="848" spans="29:30" x14ac:dyDescent="0.2">
      <c r="AC848" s="5" t="s">
        <v>556</v>
      </c>
      <c r="AD848" s="5" t="s">
        <v>556</v>
      </c>
    </row>
    <row r="849" spans="29:30" x14ac:dyDescent="0.2">
      <c r="AC849" s="5" t="s">
        <v>364</v>
      </c>
      <c r="AD849" s="5" t="s">
        <v>364</v>
      </c>
    </row>
    <row r="850" spans="29:30" x14ac:dyDescent="0.2">
      <c r="AC850" s="5" t="s">
        <v>557</v>
      </c>
      <c r="AD850" s="5" t="s">
        <v>557</v>
      </c>
    </row>
    <row r="851" spans="29:30" x14ac:dyDescent="0.2">
      <c r="AC851" s="5" t="s">
        <v>558</v>
      </c>
      <c r="AD851" s="5" t="s">
        <v>558</v>
      </c>
    </row>
    <row r="852" spans="29:30" x14ac:dyDescent="0.2">
      <c r="AC852" s="5" t="s">
        <v>559</v>
      </c>
      <c r="AD852" s="5" t="s">
        <v>559</v>
      </c>
    </row>
    <row r="853" spans="29:30" x14ac:dyDescent="0.2">
      <c r="AC853" s="5" t="s">
        <v>560</v>
      </c>
      <c r="AD853" s="5" t="s">
        <v>560</v>
      </c>
    </row>
    <row r="854" spans="29:30" x14ac:dyDescent="0.2">
      <c r="AC854" s="5" t="s">
        <v>561</v>
      </c>
      <c r="AD854" s="5" t="s">
        <v>561</v>
      </c>
    </row>
    <row r="855" spans="29:30" x14ac:dyDescent="0.2">
      <c r="AC855" s="5" t="s">
        <v>562</v>
      </c>
      <c r="AD855" s="5" t="s">
        <v>562</v>
      </c>
    </row>
    <row r="856" spans="29:30" x14ac:dyDescent="0.2">
      <c r="AC856" s="5" t="s">
        <v>563</v>
      </c>
      <c r="AD856" s="5" t="s">
        <v>563</v>
      </c>
    </row>
    <row r="857" spans="29:30" x14ac:dyDescent="0.2">
      <c r="AC857" s="5" t="s">
        <v>564</v>
      </c>
      <c r="AD857" s="5" t="s">
        <v>564</v>
      </c>
    </row>
    <row r="858" spans="29:30" x14ac:dyDescent="0.2">
      <c r="AC858" s="5" t="s">
        <v>366</v>
      </c>
      <c r="AD858" s="5" t="s">
        <v>366</v>
      </c>
    </row>
    <row r="859" spans="29:30" x14ac:dyDescent="0.2">
      <c r="AC859" s="5" t="s">
        <v>565</v>
      </c>
      <c r="AD859" s="5" t="s">
        <v>565</v>
      </c>
    </row>
    <row r="860" spans="29:30" x14ac:dyDescent="0.2">
      <c r="AC860" s="5" t="s">
        <v>670</v>
      </c>
      <c r="AD860" s="5" t="s">
        <v>670</v>
      </c>
    </row>
    <row r="861" spans="29:30" x14ac:dyDescent="0.2">
      <c r="AC861" s="5" t="s">
        <v>566</v>
      </c>
      <c r="AD861" s="5" t="s">
        <v>566</v>
      </c>
    </row>
    <row r="862" spans="29:30" x14ac:dyDescent="0.2">
      <c r="AC862" s="5" t="s">
        <v>567</v>
      </c>
      <c r="AD862" s="5" t="s">
        <v>567</v>
      </c>
    </row>
    <row r="863" spans="29:30" x14ac:dyDescent="0.2">
      <c r="AC863" s="5" t="s">
        <v>568</v>
      </c>
      <c r="AD863" s="5" t="s">
        <v>568</v>
      </c>
    </row>
    <row r="864" spans="29:30" x14ac:dyDescent="0.2">
      <c r="AC864" s="5" t="s">
        <v>569</v>
      </c>
      <c r="AD864" s="5" t="s">
        <v>569</v>
      </c>
    </row>
    <row r="865" spans="29:30" x14ac:dyDescent="0.2">
      <c r="AC865" s="5" t="s">
        <v>570</v>
      </c>
      <c r="AD865" s="5" t="s">
        <v>570</v>
      </c>
    </row>
    <row r="866" spans="29:30" x14ac:dyDescent="0.2">
      <c r="AC866" s="5" t="s">
        <v>571</v>
      </c>
      <c r="AD866" s="5" t="s">
        <v>571</v>
      </c>
    </row>
    <row r="867" spans="29:30" x14ac:dyDescent="0.2">
      <c r="AC867" s="5" t="s">
        <v>572</v>
      </c>
      <c r="AD867" s="5" t="s">
        <v>572</v>
      </c>
    </row>
    <row r="868" spans="29:30" x14ac:dyDescent="0.2">
      <c r="AC868" s="5" t="s">
        <v>573</v>
      </c>
      <c r="AD868" s="5" t="s">
        <v>573</v>
      </c>
    </row>
    <row r="869" spans="29:30" x14ac:dyDescent="0.2">
      <c r="AC869" s="5" t="s">
        <v>574</v>
      </c>
      <c r="AD869" s="5" t="s">
        <v>574</v>
      </c>
    </row>
    <row r="870" spans="29:30" x14ac:dyDescent="0.2">
      <c r="AC870" s="5" t="s">
        <v>575</v>
      </c>
      <c r="AD870" s="5" t="s">
        <v>575</v>
      </c>
    </row>
    <row r="871" spans="29:30" x14ac:dyDescent="0.2">
      <c r="AC871" s="5" t="s">
        <v>576</v>
      </c>
      <c r="AD871" s="5" t="s">
        <v>576</v>
      </c>
    </row>
    <row r="872" spans="29:30" x14ac:dyDescent="0.2">
      <c r="AC872" s="5" t="s">
        <v>577</v>
      </c>
      <c r="AD872" s="5" t="s">
        <v>577</v>
      </c>
    </row>
    <row r="873" spans="29:30" x14ac:dyDescent="0.2">
      <c r="AC873" s="5" t="s">
        <v>578</v>
      </c>
      <c r="AD873" s="5" t="s">
        <v>578</v>
      </c>
    </row>
    <row r="874" spans="29:30" x14ac:dyDescent="0.2">
      <c r="AC874" s="5" t="s">
        <v>579</v>
      </c>
      <c r="AD874" s="5" t="s">
        <v>579</v>
      </c>
    </row>
    <row r="875" spans="29:30" x14ac:dyDescent="0.2">
      <c r="AC875" s="5" t="s">
        <v>580</v>
      </c>
      <c r="AD875" s="5" t="s">
        <v>580</v>
      </c>
    </row>
    <row r="876" spans="29:30" x14ac:dyDescent="0.2">
      <c r="AC876" s="5" t="s">
        <v>370</v>
      </c>
      <c r="AD876" s="5" t="s">
        <v>370</v>
      </c>
    </row>
    <row r="877" spans="29:30" x14ac:dyDescent="0.2">
      <c r="AC877" s="5" t="s">
        <v>581</v>
      </c>
      <c r="AD877" s="5" t="s">
        <v>581</v>
      </c>
    </row>
    <row r="878" spans="29:30" x14ac:dyDescent="0.2">
      <c r="AC878" s="5" t="s">
        <v>89</v>
      </c>
      <c r="AD878" s="5" t="s">
        <v>89</v>
      </c>
    </row>
    <row r="879" spans="29:30" x14ac:dyDescent="0.2">
      <c r="AC879" s="5" t="s">
        <v>582</v>
      </c>
      <c r="AD879" s="5" t="s">
        <v>582</v>
      </c>
    </row>
    <row r="880" spans="29:30" x14ac:dyDescent="0.2">
      <c r="AC880" s="5" t="s">
        <v>373</v>
      </c>
      <c r="AD880" s="5" t="s">
        <v>373</v>
      </c>
    </row>
    <row r="881" spans="29:30" x14ac:dyDescent="0.2">
      <c r="AC881" s="5" t="s">
        <v>671</v>
      </c>
      <c r="AD881" s="5" t="s">
        <v>671</v>
      </c>
    </row>
    <row r="882" spans="29:30" x14ac:dyDescent="0.2">
      <c r="AC882" s="5" t="s">
        <v>583</v>
      </c>
      <c r="AD882" s="5" t="s">
        <v>583</v>
      </c>
    </row>
    <row r="883" spans="29:30" x14ac:dyDescent="0.2">
      <c r="AC883" s="5" t="s">
        <v>102</v>
      </c>
      <c r="AD883" s="5" t="s">
        <v>102</v>
      </c>
    </row>
    <row r="884" spans="29:30" x14ac:dyDescent="0.2">
      <c r="AC884" s="5" t="s">
        <v>100</v>
      </c>
      <c r="AD884" s="5" t="s">
        <v>100</v>
      </c>
    </row>
    <row r="885" spans="29:30" x14ac:dyDescent="0.2">
      <c r="AC885" s="5" t="s">
        <v>672</v>
      </c>
      <c r="AD885" s="5" t="s">
        <v>672</v>
      </c>
    </row>
    <row r="886" spans="29:30" x14ac:dyDescent="0.2">
      <c r="AC886" s="5" t="s">
        <v>584</v>
      </c>
      <c r="AD886" s="5" t="s">
        <v>584</v>
      </c>
    </row>
    <row r="887" spans="29:30" x14ac:dyDescent="0.2">
      <c r="AC887" s="5" t="s">
        <v>585</v>
      </c>
      <c r="AD887" s="5" t="s">
        <v>585</v>
      </c>
    </row>
    <row r="888" spans="29:30" x14ac:dyDescent="0.2">
      <c r="AC888" s="5" t="s">
        <v>376</v>
      </c>
      <c r="AD888" s="5" t="s">
        <v>376</v>
      </c>
    </row>
    <row r="889" spans="29:30" x14ac:dyDescent="0.2">
      <c r="AC889" s="5" t="s">
        <v>586</v>
      </c>
      <c r="AD889" s="5" t="s">
        <v>586</v>
      </c>
    </row>
    <row r="890" spans="29:30" x14ac:dyDescent="0.2">
      <c r="AC890" s="5" t="s">
        <v>587</v>
      </c>
      <c r="AD890" s="5" t="s">
        <v>587</v>
      </c>
    </row>
    <row r="891" spans="29:30" x14ac:dyDescent="0.2">
      <c r="AC891" s="5" t="s">
        <v>588</v>
      </c>
      <c r="AD891" s="5" t="s">
        <v>588</v>
      </c>
    </row>
    <row r="892" spans="29:30" x14ac:dyDescent="0.2">
      <c r="AC892" s="5" t="s">
        <v>109</v>
      </c>
      <c r="AD892" s="5" t="s">
        <v>109</v>
      </c>
    </row>
    <row r="893" spans="29:30" x14ac:dyDescent="0.2">
      <c r="AC893" s="5" t="s">
        <v>589</v>
      </c>
      <c r="AD893" s="5" t="s">
        <v>589</v>
      </c>
    </row>
    <row r="894" spans="29:30" x14ac:dyDescent="0.2">
      <c r="AC894" s="5" t="s">
        <v>590</v>
      </c>
      <c r="AD894" s="5" t="s">
        <v>590</v>
      </c>
    </row>
    <row r="895" spans="29:30" x14ac:dyDescent="0.2">
      <c r="AC895" s="5" t="s">
        <v>52</v>
      </c>
      <c r="AD895" s="5" t="s">
        <v>52</v>
      </c>
    </row>
    <row r="896" spans="29:30" x14ac:dyDescent="0.2">
      <c r="AC896" s="5" t="s">
        <v>591</v>
      </c>
      <c r="AD896" s="5" t="s">
        <v>591</v>
      </c>
    </row>
    <row r="897" spans="29:30" x14ac:dyDescent="0.2">
      <c r="AC897" s="5" t="s">
        <v>592</v>
      </c>
      <c r="AD897" s="5" t="s">
        <v>592</v>
      </c>
    </row>
    <row r="898" spans="29:30" x14ac:dyDescent="0.2">
      <c r="AC898" s="5" t="s">
        <v>382</v>
      </c>
      <c r="AD898" s="5" t="s">
        <v>382</v>
      </c>
    </row>
    <row r="899" spans="29:30" x14ac:dyDescent="0.2">
      <c r="AC899" s="5" t="s">
        <v>673</v>
      </c>
      <c r="AD899" s="5" t="s">
        <v>673</v>
      </c>
    </row>
    <row r="900" spans="29:30" x14ac:dyDescent="0.2">
      <c r="AC900" s="5" t="s">
        <v>593</v>
      </c>
      <c r="AD900" s="5" t="s">
        <v>593</v>
      </c>
    </row>
    <row r="901" spans="29:30" x14ac:dyDescent="0.2">
      <c r="AC901" s="5" t="s">
        <v>594</v>
      </c>
      <c r="AD901" s="5" t="s">
        <v>594</v>
      </c>
    </row>
    <row r="902" spans="29:30" x14ac:dyDescent="0.2">
      <c r="AC902" s="5" t="s">
        <v>214</v>
      </c>
      <c r="AD902" s="5" t="s">
        <v>214</v>
      </c>
    </row>
    <row r="903" spans="29:30" x14ac:dyDescent="0.2">
      <c r="AC903" s="5" t="s">
        <v>595</v>
      </c>
      <c r="AD903" s="5" t="s">
        <v>595</v>
      </c>
    </row>
    <row r="904" spans="29:30" x14ac:dyDescent="0.2">
      <c r="AC904" s="5" t="s">
        <v>596</v>
      </c>
      <c r="AD904" s="5" t="s">
        <v>596</v>
      </c>
    </row>
    <row r="905" spans="29:30" x14ac:dyDescent="0.2">
      <c r="AC905" s="5" t="s">
        <v>597</v>
      </c>
      <c r="AD905" s="5" t="s">
        <v>597</v>
      </c>
    </row>
    <row r="906" spans="29:30" x14ac:dyDescent="0.2">
      <c r="AC906" s="5" t="s">
        <v>598</v>
      </c>
      <c r="AD906" s="5" t="s">
        <v>598</v>
      </c>
    </row>
    <row r="907" spans="29:30" x14ac:dyDescent="0.2">
      <c r="AC907" s="5" t="s">
        <v>387</v>
      </c>
      <c r="AD907" s="5" t="s">
        <v>387</v>
      </c>
    </row>
    <row r="908" spans="29:30" x14ac:dyDescent="0.2">
      <c r="AC908" s="5" t="s">
        <v>599</v>
      </c>
      <c r="AD908" s="5" t="s">
        <v>599</v>
      </c>
    </row>
    <row r="909" spans="29:30" x14ac:dyDescent="0.2">
      <c r="AC909" s="5" t="s">
        <v>674</v>
      </c>
      <c r="AD909" s="5" t="s">
        <v>674</v>
      </c>
    </row>
    <row r="910" spans="29:30" x14ac:dyDescent="0.2">
      <c r="AC910" s="5" t="s">
        <v>600</v>
      </c>
      <c r="AD910" s="5" t="s">
        <v>600</v>
      </c>
    </row>
    <row r="911" spans="29:30" x14ac:dyDescent="0.2">
      <c r="AC911" s="5" t="s">
        <v>675</v>
      </c>
      <c r="AD911" s="5" t="s">
        <v>675</v>
      </c>
    </row>
    <row r="912" spans="29:30" x14ac:dyDescent="0.2">
      <c r="AC912" s="5" t="s">
        <v>601</v>
      </c>
      <c r="AD912" s="5" t="s">
        <v>601</v>
      </c>
    </row>
    <row r="913" spans="29:30" x14ac:dyDescent="0.2">
      <c r="AC913" s="5" t="s">
        <v>602</v>
      </c>
      <c r="AD913" s="5" t="s">
        <v>602</v>
      </c>
    </row>
    <row r="914" spans="29:30" x14ac:dyDescent="0.2">
      <c r="AC914" s="5" t="s">
        <v>603</v>
      </c>
      <c r="AD914" s="5" t="s">
        <v>603</v>
      </c>
    </row>
    <row r="915" spans="29:30" x14ac:dyDescent="0.2">
      <c r="AC915" s="5" t="s">
        <v>604</v>
      </c>
      <c r="AD915" s="5" t="s">
        <v>604</v>
      </c>
    </row>
    <row r="916" spans="29:30" x14ac:dyDescent="0.2">
      <c r="AC916" s="5" t="s">
        <v>605</v>
      </c>
      <c r="AD916" s="5" t="s">
        <v>605</v>
      </c>
    </row>
    <row r="917" spans="29:30" x14ac:dyDescent="0.2">
      <c r="AC917" s="5" t="s">
        <v>391</v>
      </c>
      <c r="AD917" s="5" t="s">
        <v>391</v>
      </c>
    </row>
    <row r="918" spans="29:30" x14ac:dyDescent="0.2">
      <c r="AC918" s="5" t="s">
        <v>606</v>
      </c>
      <c r="AD918" s="13" t="s">
        <v>606</v>
      </c>
    </row>
    <row r="919" spans="29:30" x14ac:dyDescent="0.2">
      <c r="AC919" s="5" t="s">
        <v>607</v>
      </c>
      <c r="AD919" s="5" t="s">
        <v>607</v>
      </c>
    </row>
    <row r="920" spans="29:30" x14ac:dyDescent="0.2">
      <c r="AC920" s="5" t="s">
        <v>608</v>
      </c>
      <c r="AD920" s="5" t="s">
        <v>608</v>
      </c>
    </row>
    <row r="921" spans="29:30" x14ac:dyDescent="0.2">
      <c r="AC921" s="5" t="s">
        <v>393</v>
      </c>
      <c r="AD921" s="5" t="s">
        <v>393</v>
      </c>
    </row>
    <row r="922" spans="29:30" x14ac:dyDescent="0.2">
      <c r="AC922" s="5" t="s">
        <v>257</v>
      </c>
      <c r="AD922" s="5" t="s">
        <v>257</v>
      </c>
    </row>
    <row r="923" spans="29:30" x14ac:dyDescent="0.2">
      <c r="AC923" s="5" t="s">
        <v>609</v>
      </c>
      <c r="AD923" s="5" t="s">
        <v>609</v>
      </c>
    </row>
    <row r="924" spans="29:30" x14ac:dyDescent="0.2">
      <c r="AC924" s="5" t="s">
        <v>610</v>
      </c>
      <c r="AD924" s="5" t="s">
        <v>610</v>
      </c>
    </row>
    <row r="925" spans="29:30" x14ac:dyDescent="0.2">
      <c r="AC925" s="5" t="s">
        <v>611</v>
      </c>
      <c r="AD925" s="5" t="s">
        <v>611</v>
      </c>
    </row>
    <row r="926" spans="29:30" x14ac:dyDescent="0.2">
      <c r="AC926" s="5" t="s">
        <v>612</v>
      </c>
      <c r="AD926" s="5" t="s">
        <v>612</v>
      </c>
    </row>
    <row r="927" spans="29:30" x14ac:dyDescent="0.2">
      <c r="AC927" s="5" t="s">
        <v>613</v>
      </c>
      <c r="AD927" s="5" t="s">
        <v>613</v>
      </c>
    </row>
    <row r="928" spans="29:30" x14ac:dyDescent="0.2">
      <c r="AC928" s="5" t="s">
        <v>134</v>
      </c>
      <c r="AD928" s="5" t="s">
        <v>134</v>
      </c>
    </row>
    <row r="929" spans="29:30" x14ac:dyDescent="0.2">
      <c r="AC929" s="5" t="s">
        <v>614</v>
      </c>
      <c r="AD929" s="5" t="s">
        <v>614</v>
      </c>
    </row>
    <row r="930" spans="29:30" x14ac:dyDescent="0.2">
      <c r="AC930" s="5" t="s">
        <v>615</v>
      </c>
      <c r="AD930" s="5" t="s">
        <v>615</v>
      </c>
    </row>
    <row r="931" spans="29:30" x14ac:dyDescent="0.2">
      <c r="AC931" s="5" t="s">
        <v>616</v>
      </c>
      <c r="AD931" s="5" t="s">
        <v>616</v>
      </c>
    </row>
    <row r="932" spans="29:30" x14ac:dyDescent="0.2">
      <c r="AC932" s="5" t="s">
        <v>617</v>
      </c>
      <c r="AD932" s="5" t="s">
        <v>617</v>
      </c>
    </row>
    <row r="933" spans="29:30" x14ac:dyDescent="0.2">
      <c r="AC933" s="5" t="s">
        <v>618</v>
      </c>
      <c r="AD933" s="5" t="s">
        <v>618</v>
      </c>
    </row>
    <row r="934" spans="29:30" x14ac:dyDescent="0.2">
      <c r="AC934" s="5" t="s">
        <v>619</v>
      </c>
      <c r="AD934" s="5" t="s">
        <v>619</v>
      </c>
    </row>
    <row r="935" spans="29:30" x14ac:dyDescent="0.2">
      <c r="AC935" s="5" t="s">
        <v>620</v>
      </c>
      <c r="AD935" s="5" t="s">
        <v>620</v>
      </c>
    </row>
    <row r="936" spans="29:30" x14ac:dyDescent="0.2">
      <c r="AC936" s="5" t="s">
        <v>621</v>
      </c>
      <c r="AD936" s="5" t="s">
        <v>621</v>
      </c>
    </row>
    <row r="937" spans="29:30" x14ac:dyDescent="0.2">
      <c r="AC937" s="5" t="s">
        <v>622</v>
      </c>
      <c r="AD937" s="13" t="s">
        <v>622</v>
      </c>
    </row>
    <row r="938" spans="29:30" x14ac:dyDescent="0.2">
      <c r="AC938" s="5" t="s">
        <v>623</v>
      </c>
      <c r="AD938" s="5" t="s">
        <v>623</v>
      </c>
    </row>
    <row r="939" spans="29:30" x14ac:dyDescent="0.2">
      <c r="AC939" s="5" t="s">
        <v>624</v>
      </c>
      <c r="AD939" s="5" t="s">
        <v>624</v>
      </c>
    </row>
    <row r="940" spans="29:30" x14ac:dyDescent="0.2">
      <c r="AC940" s="5" t="s">
        <v>625</v>
      </c>
      <c r="AD940" s="5" t="s">
        <v>625</v>
      </c>
    </row>
    <row r="941" spans="29:30" x14ac:dyDescent="0.2">
      <c r="AC941" s="5" t="s">
        <v>626</v>
      </c>
      <c r="AD941" s="5" t="s">
        <v>626</v>
      </c>
    </row>
    <row r="942" spans="29:30" x14ac:dyDescent="0.2">
      <c r="AC942" s="5" t="s">
        <v>627</v>
      </c>
      <c r="AD942" s="5" t="s">
        <v>627</v>
      </c>
    </row>
    <row r="943" spans="29:30" x14ac:dyDescent="0.2">
      <c r="AC943" s="5" t="s">
        <v>628</v>
      </c>
      <c r="AD943" s="5" t="s">
        <v>628</v>
      </c>
    </row>
    <row r="944" spans="29:30" x14ac:dyDescent="0.2">
      <c r="AC944" s="5" t="s">
        <v>629</v>
      </c>
      <c r="AD944" s="5" t="s">
        <v>629</v>
      </c>
    </row>
    <row r="945" spans="29:30" x14ac:dyDescent="0.2">
      <c r="AC945" s="5" t="s">
        <v>630</v>
      </c>
      <c r="AD945" s="5" t="s">
        <v>630</v>
      </c>
    </row>
    <row r="946" spans="29:30" x14ac:dyDescent="0.2">
      <c r="AC946" s="5" t="s">
        <v>631</v>
      </c>
      <c r="AD946" s="5" t="s">
        <v>631</v>
      </c>
    </row>
    <row r="947" spans="29:30" x14ac:dyDescent="0.2">
      <c r="AC947" s="5" t="s">
        <v>632</v>
      </c>
      <c r="AD947" s="5" t="s">
        <v>632</v>
      </c>
    </row>
    <row r="948" spans="29:30" x14ac:dyDescent="0.2">
      <c r="AC948" s="5" t="s">
        <v>633</v>
      </c>
      <c r="AD948" s="5" t="s">
        <v>633</v>
      </c>
    </row>
    <row r="949" spans="29:30" x14ac:dyDescent="0.2">
      <c r="AC949" s="5" t="s">
        <v>149</v>
      </c>
      <c r="AD949" s="5" t="s">
        <v>149</v>
      </c>
    </row>
    <row r="950" spans="29:30" x14ac:dyDescent="0.2">
      <c r="AC950" s="5" t="s">
        <v>634</v>
      </c>
      <c r="AD950" s="5" t="s">
        <v>634</v>
      </c>
    </row>
    <row r="951" spans="29:30" x14ac:dyDescent="0.2">
      <c r="AC951" s="5" t="s">
        <v>635</v>
      </c>
      <c r="AD951" s="5" t="s">
        <v>635</v>
      </c>
    </row>
    <row r="952" spans="29:30" x14ac:dyDescent="0.2">
      <c r="AC952" s="5" t="s">
        <v>636</v>
      </c>
      <c r="AD952" s="5" t="s">
        <v>636</v>
      </c>
    </row>
    <row r="953" spans="29:30" x14ac:dyDescent="0.2">
      <c r="AC953" s="5" t="s">
        <v>637</v>
      </c>
      <c r="AD953" s="5" t="s">
        <v>637</v>
      </c>
    </row>
    <row r="954" spans="29:30" x14ac:dyDescent="0.2">
      <c r="AC954" s="5" t="s">
        <v>638</v>
      </c>
      <c r="AD954" s="5" t="s">
        <v>638</v>
      </c>
    </row>
    <row r="955" spans="29:30" x14ac:dyDescent="0.2">
      <c r="AC955" s="5" t="s">
        <v>639</v>
      </c>
      <c r="AD955" s="13" t="s">
        <v>639</v>
      </c>
    </row>
    <row r="956" spans="29:30" x14ac:dyDescent="0.2">
      <c r="AC956" s="5" t="s">
        <v>640</v>
      </c>
      <c r="AD956" s="5" t="s">
        <v>640</v>
      </c>
    </row>
    <row r="957" spans="29:30" x14ac:dyDescent="0.2">
      <c r="AC957" s="5" t="s">
        <v>641</v>
      </c>
      <c r="AD957" s="5" t="s">
        <v>641</v>
      </c>
    </row>
    <row r="958" spans="29:30" x14ac:dyDescent="0.2">
      <c r="AC958" s="5" t="s">
        <v>397</v>
      </c>
      <c r="AD958" s="5" t="s">
        <v>397</v>
      </c>
    </row>
    <row r="959" spans="29:30" x14ac:dyDescent="0.2">
      <c r="AC959" s="5" t="s">
        <v>642</v>
      </c>
      <c r="AD959" s="5" t="s">
        <v>642</v>
      </c>
    </row>
  </sheetData>
  <sheetProtection algorithmName="SHA-512" hashValue="L2QuUroBMJipr3JoUabijsCk9RqhMzxu7RoIInEFxtQK+eprLklvtBt6cxBf+fc7cgJkcXFa7lEaGFofvub6Sw==" saltValue="JQ1W2se4TRxjfOxLxFD+rQ==" spinCount="100000" sheet="1" objects="1" scenarios="1" insertRows="0" deleteRows="0" sort="0" autoFilter="0"/>
  <mergeCells count="93">
    <mergeCell ref="M100:W100"/>
    <mergeCell ref="M101:W101"/>
    <mergeCell ref="M102:W102"/>
    <mergeCell ref="M103:W103"/>
    <mergeCell ref="M95:W95"/>
    <mergeCell ref="M96:W96"/>
    <mergeCell ref="M97:W97"/>
    <mergeCell ref="M98:W98"/>
    <mergeCell ref="M99:W99"/>
    <mergeCell ref="M90:W90"/>
    <mergeCell ref="M91:W91"/>
    <mergeCell ref="M92:W92"/>
    <mergeCell ref="M93:W93"/>
    <mergeCell ref="M94:W94"/>
    <mergeCell ref="M85:W85"/>
    <mergeCell ref="M86:W86"/>
    <mergeCell ref="M87:W87"/>
    <mergeCell ref="M88:W88"/>
    <mergeCell ref="M89:W89"/>
    <mergeCell ref="M80:W80"/>
    <mergeCell ref="M81:W81"/>
    <mergeCell ref="M82:W82"/>
    <mergeCell ref="M83:W83"/>
    <mergeCell ref="M84:W84"/>
    <mergeCell ref="M75:W75"/>
    <mergeCell ref="M76:W76"/>
    <mergeCell ref="M77:W77"/>
    <mergeCell ref="M78:W78"/>
    <mergeCell ref="M79:W79"/>
    <mergeCell ref="M70:W70"/>
    <mergeCell ref="M71:W71"/>
    <mergeCell ref="M72:W72"/>
    <mergeCell ref="M73:W73"/>
    <mergeCell ref="M74:W74"/>
    <mergeCell ref="M65:W65"/>
    <mergeCell ref="M66:W66"/>
    <mergeCell ref="M67:W67"/>
    <mergeCell ref="M68:W68"/>
    <mergeCell ref="M69:W69"/>
    <mergeCell ref="M60:W60"/>
    <mergeCell ref="M61:W61"/>
    <mergeCell ref="M62:W62"/>
    <mergeCell ref="M63:W63"/>
    <mergeCell ref="M64:W64"/>
    <mergeCell ref="M55:W55"/>
    <mergeCell ref="M56:W56"/>
    <mergeCell ref="M57:W57"/>
    <mergeCell ref="M58:W58"/>
    <mergeCell ref="M59:W59"/>
    <mergeCell ref="M50:W50"/>
    <mergeCell ref="M51:W51"/>
    <mergeCell ref="M52:W52"/>
    <mergeCell ref="M53:W53"/>
    <mergeCell ref="M54:W54"/>
    <mergeCell ref="M45:W45"/>
    <mergeCell ref="M46:W46"/>
    <mergeCell ref="M47:W47"/>
    <mergeCell ref="M48:W48"/>
    <mergeCell ref="M49:W49"/>
    <mergeCell ref="M40:W40"/>
    <mergeCell ref="M41:W41"/>
    <mergeCell ref="M42:W42"/>
    <mergeCell ref="M43:W43"/>
    <mergeCell ref="M44:W44"/>
    <mergeCell ref="M35:W35"/>
    <mergeCell ref="M36:W36"/>
    <mergeCell ref="M37:W37"/>
    <mergeCell ref="M38:W38"/>
    <mergeCell ref="M39:W39"/>
    <mergeCell ref="M30:W30"/>
    <mergeCell ref="M31:W31"/>
    <mergeCell ref="M32:W32"/>
    <mergeCell ref="M33:W33"/>
    <mergeCell ref="M34:W34"/>
    <mergeCell ref="M25:W25"/>
    <mergeCell ref="M26:W26"/>
    <mergeCell ref="M27:W27"/>
    <mergeCell ref="M28:W28"/>
    <mergeCell ref="M29:W29"/>
    <mergeCell ref="M20:W20"/>
    <mergeCell ref="M21:W21"/>
    <mergeCell ref="M22:W22"/>
    <mergeCell ref="M23:W23"/>
    <mergeCell ref="M24:W24"/>
    <mergeCell ref="M19:W19"/>
    <mergeCell ref="B8:J8"/>
    <mergeCell ref="A1:L1"/>
    <mergeCell ref="B3:H3"/>
    <mergeCell ref="B4:H4"/>
    <mergeCell ref="D6:J6"/>
    <mergeCell ref="N14:P14"/>
    <mergeCell ref="M1:X8"/>
    <mergeCell ref="M9:X9"/>
  </mergeCells>
  <conditionalFormatting sqref="A11 C11 E11">
    <cfRule type="expression" dxfId="74" priority="35">
      <formula>$A$11="TL1"</formula>
    </cfRule>
  </conditionalFormatting>
  <conditionalFormatting sqref="A18">
    <cfRule type="expression" dxfId="73" priority="61">
      <formula>A18&lt;&gt;B18</formula>
    </cfRule>
  </conditionalFormatting>
  <conditionalFormatting sqref="A20:B103">
    <cfRule type="expression" dxfId="72" priority="98">
      <formula>AND($A20&lt;&gt;"",$B20&lt;&gt;"",OR(COUNTIFS($A$20:$A$103,$A20,$B$20:$B$103,"&lt;&gt;"&amp;$B20)&gt;0,COUNTIFS($B$20:$B$103,$B20,$A$20:$A$103,"&lt;&gt;"&amp;$A20)&gt;0))</formula>
    </cfRule>
  </conditionalFormatting>
  <conditionalFormatting sqref="A20:K58 A60:K103 A59:G59 I59:K59">
    <cfRule type="expression" dxfId="71" priority="72">
      <formula>AND($A20&lt;&gt;"", ISEVEN($A20))</formula>
    </cfRule>
  </conditionalFormatting>
  <conditionalFormatting sqref="A1:L1">
    <cfRule type="expression" dxfId="70" priority="15">
      <formula>OR($F$10="Stage 1",ISBLANK($F$10))</formula>
    </cfRule>
    <cfRule type="expression" dxfId="69" priority="19">
      <formula>$F$10="Stage 2"</formula>
    </cfRule>
    <cfRule type="expression" dxfId="68" priority="24">
      <formula>$F$10="Stage 3"</formula>
    </cfRule>
    <cfRule type="expression" dxfId="67" priority="29">
      <formula>$F$10="On Going"</formula>
    </cfRule>
  </conditionalFormatting>
  <conditionalFormatting sqref="A20:L58 A60:L103 A59:G59 I59:L59">
    <cfRule type="expression" dxfId="66" priority="62">
      <formula>AND($J$12="Update",$L20="Remove")</formula>
    </cfRule>
    <cfRule type="expression" dxfId="65" priority="63">
      <formula>AND($J$12="Update",$L20="Modify")</formula>
    </cfRule>
    <cfRule type="expression" dxfId="64" priority="64">
      <formula>AND($J$12="Update",$L20="Add")</formula>
    </cfRule>
    <cfRule type="expression" dxfId="63" priority="65">
      <formula>AND($J$12="Update",LEN($A20)&gt;=1)</formula>
    </cfRule>
  </conditionalFormatting>
  <conditionalFormatting sqref="B12">
    <cfRule type="expression" dxfId="62" priority="3">
      <formula>OR(AND($F$10="Stage 1", $B$12&gt;180), AND($F$10="Stage 2", $B$12&gt;300), AND($F$10="Stage 3", $B$12&gt;480))</formula>
    </cfRule>
  </conditionalFormatting>
  <conditionalFormatting sqref="B18">
    <cfRule type="expression" dxfId="61" priority="60">
      <formula>B18&lt;&gt;A18</formula>
    </cfRule>
  </conditionalFormatting>
  <conditionalFormatting sqref="B20:B103">
    <cfRule type="expression" dxfId="60" priority="33">
      <formula>AND(NOT(ISBLANK($B20)), OR(LEN($B20)&lt;4, LEN($B20)&gt;100))</formula>
    </cfRule>
  </conditionalFormatting>
  <conditionalFormatting sqref="B3:H3">
    <cfRule type="expression" dxfId="59" priority="41">
      <formula>$F$10="Stage 2"</formula>
    </cfRule>
    <cfRule type="expression" dxfId="58" priority="42">
      <formula>$F$10="Stage 3"</formula>
    </cfRule>
    <cfRule type="expression" dxfId="57" priority="46">
      <formula>$F$10="On Going"</formula>
    </cfRule>
    <cfRule type="expression" dxfId="56" priority="57">
      <formula>LEN(B3)&gt;100</formula>
    </cfRule>
  </conditionalFormatting>
  <conditionalFormatting sqref="C6">
    <cfRule type="expression" dxfId="55" priority="16">
      <formula>AND($B$6="Manual",$F$10="Stage 2")</formula>
    </cfRule>
    <cfRule type="expression" dxfId="54" priority="21">
      <formula>AND($B$6="Manual",$F$10="Stage 3")</formula>
    </cfRule>
    <cfRule type="expression" dxfId="53" priority="26">
      <formula>AND($B$6="Manual",$F$10="On Going")</formula>
    </cfRule>
    <cfRule type="expression" dxfId="52" priority="31">
      <formula>AND($B$6="Manual",OR($F$10="Stage 1",ISBLANK($F$10)))</formula>
    </cfRule>
  </conditionalFormatting>
  <conditionalFormatting sqref="C16">
    <cfRule type="expression" dxfId="51" priority="17">
      <formula>AND($B$16="Yes",$F$10="Stage 2")</formula>
    </cfRule>
    <cfRule type="expression" dxfId="50" priority="22">
      <formula>AND($B$16="Yes",$F$10="Stage 3")</formula>
    </cfRule>
    <cfRule type="expression" dxfId="49" priority="27">
      <formula>AND($B$16="Yes",$F$10="On Going")</formula>
    </cfRule>
    <cfRule type="expression" dxfId="48" priority="30">
      <formula>AND($B$16="Yes",OR($F$10="Stage 1",ISBLANK($F$10)))</formula>
    </cfRule>
  </conditionalFormatting>
  <conditionalFormatting sqref="C18:K18">
    <cfRule type="expression" dxfId="47" priority="59">
      <formula>COUNTIF($C$18:$K$18, $C$18)&lt;&gt;COLUMNS($C$18:$K$18)</formula>
    </cfRule>
  </conditionalFormatting>
  <conditionalFormatting sqref="D6 B20:B103 F20:F103 H20:H58 H60:H103 J59">
    <cfRule type="containsText" dxfId="46" priority="6" operator="containsText" text="SDWAN">
      <formula>NOT(ISERROR(SEARCH("SDWAN",B6)))</formula>
    </cfRule>
    <cfRule type="containsText" dxfId="45" priority="7" operator="containsText" text="presales">
      <formula>NOT(ISERROR(SEARCH("presales",B6)))</formula>
    </cfRule>
  </conditionalFormatting>
  <conditionalFormatting sqref="D16">
    <cfRule type="expression" dxfId="44" priority="2">
      <formula>AND($B$16="Yes", $D$16="")</formula>
    </cfRule>
  </conditionalFormatting>
  <conditionalFormatting sqref="D16:I16">
    <cfRule type="expression" dxfId="43" priority="40">
      <formula>$B$16="Yes"</formula>
    </cfRule>
  </conditionalFormatting>
  <conditionalFormatting sqref="D6:J6">
    <cfRule type="expression" dxfId="42" priority="68">
      <formula>B6="Manual"</formula>
    </cfRule>
  </conditionalFormatting>
  <conditionalFormatting sqref="F14">
    <cfRule type="expression" dxfId="41" priority="71">
      <formula>LEFT(F14, FIND("/", F14)-1) &lt;&gt; MID(F14, FIND("/", F14)+1, LEN(F14))</formula>
    </cfRule>
  </conditionalFormatting>
  <conditionalFormatting sqref="F20:F103">
    <cfRule type="expression" dxfId="40" priority="99">
      <formula>AND(NOT(ISBLANK($F20)), OR(LEN($F20)&lt;4, LEN($F20)&gt;100))</formula>
    </cfRule>
    <cfRule type="duplicateValues" dxfId="39" priority="116"/>
  </conditionalFormatting>
  <conditionalFormatting sqref="G20:G103">
    <cfRule type="expression" dxfId="38" priority="1">
      <formula>$G20&gt;30</formula>
    </cfRule>
    <cfRule type="expression" dxfId="37" priority="20">
      <formula>AND(OR($E20="Doc", $E20="PDF", $E20="PPT"),$G20&gt;10)</formula>
    </cfRule>
  </conditionalFormatting>
  <conditionalFormatting sqref="H14">
    <cfRule type="expression" dxfId="36" priority="67">
      <formula>LEN(G14)&gt;2</formula>
    </cfRule>
  </conditionalFormatting>
  <conditionalFormatting sqref="H20:H58 H60:H103 J20:J103">
    <cfRule type="expression" dxfId="35" priority="39">
      <formula>ISNUMBER(SEARCH("partnerlearning", $K20))</formula>
    </cfRule>
  </conditionalFormatting>
  <conditionalFormatting sqref="K20:K103 H20:H58 H60:H103 J59">
    <cfRule type="expression" dxfId="34" priority="50">
      <formula>$E20="Assessment"</formula>
    </cfRule>
  </conditionalFormatting>
  <conditionalFormatting sqref="H20:H58 H60:H103">
    <cfRule type="expression" dxfId="33" priority="8">
      <formula>AND($J20&lt;&gt;"", $H20&lt;&gt;"", NOT(OR(RIGHT(TRIM($H20),1)=".", RIGHT(TRIM($H20),1)="?", RIGHT(TRIM($H20),1)="!")))</formula>
    </cfRule>
    <cfRule type="expression" priority="56">
      <formula>AND(NOT(ISBLANK($H20)), OR(LEN($H20)&lt;4, LEN($H20)&gt;948))</formula>
    </cfRule>
  </conditionalFormatting>
  <conditionalFormatting sqref="J20:J58 J60:J103">
    <cfRule type="expression" dxfId="32" priority="51">
      <formula>$E20="HTML"</formula>
    </cfRule>
    <cfRule type="expression" dxfId="31" priority="117">
      <formula>AND($E20="Assessment", $J20&lt;&gt;"", NOT(RIGHT($J20,5)=".xlsx"))</formula>
    </cfRule>
    <cfRule type="expression" dxfId="30" priority="118">
      <formula>AND($E20="SCORM", ISERROR(SEARCH("partnerlearning", $K20)), $J20&lt;&gt;"", NOT(RIGHT($J20,4)=".zip"))</formula>
    </cfRule>
    <cfRule type="expression" dxfId="29" priority="119">
      <formula>AND($E20="PPT", ISERROR(SEARCH("partnerlearning", $K20)), $J20&lt;&gt;"", NOT(OR(RIGHT($J20,4)=".ppt", RIGHT($J20,5)=".pptx")))</formula>
    </cfRule>
    <cfRule type="expression" dxfId="28" priority="120">
      <formula>AND($E20="PDF", ISERROR(SEARCH("partnerlearning", $K20)), $J20&lt;&gt;"", NOT(RIGHT($J20,4)=".pdf"))</formula>
    </cfRule>
    <cfRule type="expression" dxfId="27" priority="121">
      <formula>AND($E20="Doc", ISERROR(SEARCH("partnerlearning", $K20)), $J20&lt;&gt;"", NOT(OR(RIGHT($J20,4)=".doc", RIGHT($J20,5)=".docx")))</formula>
    </cfRule>
    <cfRule type="expression" dxfId="26" priority="122">
      <formula>AND($E20="video", ISERROR(SEARCH("partnerlearning", $K20)), $J20&lt;&gt;"", NOT(OR(RIGHT($J20,4)=".mp4", RIGHT($J20,4)=".mkv", RIGHT($J20,4)=".avi", RIGHT($J20,4)=".mov", RIGHT($J20,4)=".wmv", RIGHT($J20,4)=".flv")))</formula>
    </cfRule>
    <cfRule type="duplicateValues" dxfId="25" priority="123"/>
  </conditionalFormatting>
  <conditionalFormatting sqref="K20:K58 K60:K103">
    <cfRule type="expression" dxfId="24" priority="4">
      <formula>AND(ISNUMBER(SEARCH("partnerlearning", $K20)), NOT(AND(ISNUMBER(SEARCH("partnerlearning.cisco.com", $K20)), ISNUMBER(SEARCH("loid", $K20)), ISNUMBER(SEARCH("topicid", $K20)), ISNUMBER(SEARCH("series", $K20)))))</formula>
    </cfRule>
    <cfRule type="expression" dxfId="23" priority="47">
      <formula>ISNUMBER(FIND(".", $J20))</formula>
    </cfRule>
  </conditionalFormatting>
  <conditionalFormatting sqref="L19">
    <cfRule type="expression" dxfId="22" priority="18">
      <formula>AND($J$12="Update",$F$10="Stage 1")</formula>
    </cfRule>
    <cfRule type="expression" dxfId="21" priority="23">
      <formula>AND($J$12="Update",$F$10="Stage 2")</formula>
    </cfRule>
    <cfRule type="expression" dxfId="20" priority="28">
      <formula>AND($J$12="Update",$F$10="Stage 3")</formula>
    </cfRule>
    <cfRule type="expression" dxfId="19" priority="32">
      <formula>AND($J$12="Update",$F$10="On Going")</formula>
    </cfRule>
  </conditionalFormatting>
  <conditionalFormatting sqref="M1 A6 A8 A10 C10 E10 G10 I10 A12 C12 E12 G12 I12 A14 C14 E14 G14 I14 A16 A19:K19 M19:W19">
    <cfRule type="expression" dxfId="18" priority="36">
      <formula>$F$10="Stage 2"</formula>
    </cfRule>
    <cfRule type="expression" dxfId="17" priority="37">
      <formula>$F$10="Stage 3"</formula>
    </cfRule>
    <cfRule type="expression" dxfId="16" priority="38">
      <formula>$F$10="On Going"</formula>
    </cfRule>
  </conditionalFormatting>
  <conditionalFormatting sqref="AD443:AD1048576">
    <cfRule type="duplicateValues" dxfId="15" priority="70"/>
  </conditionalFormatting>
  <conditionalFormatting sqref="BJ2:BJ74">
    <cfRule type="duplicateValues" dxfId="14" priority="134"/>
  </conditionalFormatting>
  <conditionalFormatting sqref="J59">
    <cfRule type="expression" dxfId="2" priority="175">
      <formula>AND(#REF!&lt;&gt;"", $J59&lt;&gt;"", NOT(OR(RIGHT(TRIM($J59),1)=".", RIGHT(TRIM($J59),1)="?", RIGHT(TRIM($J59),1)="!")))</formula>
    </cfRule>
    <cfRule type="expression" priority="176">
      <formula>AND(NOT(ISBLANK($J59)), OR(LEN($J59)&lt;4, LEN($J59)&gt;948))</formula>
    </cfRule>
  </conditionalFormatting>
  <conditionalFormatting sqref="K59">
    <cfRule type="expression" dxfId="1" priority="187">
      <formula>AND(ISNUMBER(SEARCH("partnerlearning", $K59)), NOT(AND(ISNUMBER(SEARCH("partnerlearning.cisco.com", $K59)), ISNUMBER(SEARCH("loid", $K59)), ISNUMBER(SEARCH("topicid", $K59)), ISNUMBER(SEARCH("series", $K59)))))</formula>
    </cfRule>
    <cfRule type="expression" dxfId="0" priority="188">
      <formula>ISNUMBER(FIND(".", #REF!))</formula>
    </cfRule>
  </conditionalFormatting>
  <dataValidations count="44">
    <dataValidation type="list" allowBlank="1" showInputMessage="1" showErrorMessage="1" promptTitle="Partner 360 Alligned" prompt="Is this series integrated with Partner 360 and has got the PVI alignment signed off positively?" sqref="B16" xr:uid="{A91A6FD8-27A1-41DE-BCA6-43F154881E4E}">
      <formula1>"No, Yes"</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errorTitle="Cannot Input Value" error="It will be auto calculated." promptTitle="Series Duration" prompt="This is an auto calculated value based on the total duration of the modules."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 type="list" allowBlank="1" showInputMessage="1" showErrorMessage="1" sqref="E105" xr:uid="{41627F8E-41A2-4B06-9DC4-CEACEBB1EEA7}">
      <formula1>$AT$501:$AT$506</formula1>
    </dataValidation>
    <dataValidation type="list" allowBlank="1" showInputMessage="1" showErrorMessage="1" sqref="H12" xr:uid="{1BD5EBA2-3373-44C7-AE40-5ABC76C7E335}">
      <formula1>$AA$501:$AA$511</formula1>
    </dataValidation>
    <dataValidation type="list" allowBlank="1" showInputMessage="1" showErrorMessage="1" sqref="H10" xr:uid="{9B93B5FA-6AB5-449A-8B21-B86CE189230F}">
      <formula1>$AH$501:$AH$503</formula1>
    </dataValidation>
    <dataValidation type="list" allowBlank="1" showInputMessage="1" showErrorMessage="1" sqref="F12" xr:uid="{C26F1E51-B5EF-41FF-B4AF-EF93EA7333DB}">
      <formula1>_xlfn.DROP(_xlfn.TAKE($AR$501:$AR$575,_xlfn.XMATCH(D12,$AQ$501:$AQ$575,0,-1)),_xlfn.XMATCH(D12,$AQ$501:$AQ$575,0)-1)</formula1>
    </dataValidation>
    <dataValidation type="list" allowBlank="1" showInputMessage="1" showErrorMessage="1" sqref="D12" xr:uid="{DD909F9D-9E08-4DDA-9D84-272A5250CF37}">
      <formula1>$AQ$501:$AQ$575</formula1>
    </dataValidation>
    <dataValidation type="list" allowBlank="1" showInputMessage="1" showErrorMessage="1" sqref="D16" xr:uid="{C8F30532-7C1C-44F2-B616-5F6A7396DDE8}">
      <formula1>$AY$501:$AY$506</formula1>
    </dataValidation>
    <dataValidation type="list" allowBlank="1" showInputMessage="1" showErrorMessage="1" sqref="E16" xr:uid="{77144668-B5A9-4D6E-B5CD-E89CDD0C5E12}">
      <formula1>_xlfn.ANCHORARRAY($AZ$501)</formula1>
    </dataValidation>
    <dataValidation type="list" allowBlank="1" showInputMessage="1" showErrorMessage="1" sqref="F16" xr:uid="{419FF569-5F87-4023-9A8C-9AD6369594D1}">
      <formula1>_xlfn.ANCHORARRAY($BA$501)</formula1>
    </dataValidation>
    <dataValidation type="list" allowBlank="1" showInputMessage="1" showErrorMessage="1" sqref="G16" xr:uid="{CB9ADCFF-90DF-49DA-A228-52AC32C17FA6}">
      <formula1>_xlfn.ANCHORARRAY($BB$501)</formula1>
    </dataValidation>
    <dataValidation type="list" allowBlank="1" showInputMessage="1" showErrorMessage="1" sqref="H16" xr:uid="{686BD66D-FB81-4320-829D-C674E1DEDA8A}">
      <formula1>_xlfn.ANCHORARRAY($BC$501)</formula1>
    </dataValidation>
    <dataValidation type="list" allowBlank="1" showInputMessage="1" showErrorMessage="1" sqref="I16" xr:uid="{11113182-051D-40B8-AB19-8D06D6305E51}">
      <formula1>_xlfn.ANCHORARRAY($BD$501)</formula1>
    </dataValidation>
    <dataValidation type="list" allowBlank="1" showInputMessage="1" showErrorMessage="1" sqref="B10" xr:uid="{734A2420-2B06-4EB4-BF32-AB5883ACC88A}">
      <formula1>$AC$501:$AC$959</formula1>
    </dataValidation>
    <dataValidation type="list" allowBlank="1" showInputMessage="1" showErrorMessage="1" sqref="D10" xr:uid="{67E6B4AC-EEF4-4573-9AF5-3393E9DC0423}">
      <formula1>$AF$501:$AF$519</formula1>
    </dataValidation>
    <dataValidation type="textLength" operator="lessThanOrEqual" allowBlank="1" showInputMessage="1" showErrorMessage="1" errorTitle="Inappropriate Input" promptTitle="Tile Image Line 1" prompt="Mention what must be in the tile image 1st line._x000a_Max Characters: 24" sqref="B11" xr:uid="{EA39F10A-C4D5-40B0-B81C-946CCB9D808A}">
      <formula1>24</formula1>
    </dataValidation>
    <dataValidation type="textLength" operator="lessThanOrEqual" allowBlank="1" showInputMessage="1" showErrorMessage="1" errorTitle="Inappropriate Input" promptTitle="Tile Image Line 2" prompt="Mention what must be in the tile image 2nd line._x000a_Max Characters: 24" sqref="D11" xr:uid="{E0BD4809-C822-49D8-B08B-413BD920D813}">
      <formula1>24</formula1>
    </dataValidation>
    <dataValidation type="textLength" operator="lessThanOrEqual" allowBlank="1" showInputMessage="1" showErrorMessage="1" errorTitle="Inappropriate Input" promptTitle="Tile Image Line 3" prompt="Mention what must be in the tile image 3rd line._x000a_Max Characters: 24" sqref="F11" xr:uid="{25415D84-903F-4AF9-B4CB-77AF14580ACA}">
      <formula1>24</formula1>
    </dataValidation>
    <dataValidation type="whole" allowBlank="1" showInputMessage="1" showErrorMessage="1" promptTitle="Module Duration" prompt="Indicate the time span of this module in minutes." sqref="G20:G103" xr:uid="{188B4474-1F7B-4C94-AC86-14220B3B5C2A}">
      <formula1>1</formula1>
      <formula2>999</formula2>
    </dataValidation>
    <dataValidation allowBlank="1" showInputMessage="1" showErrorMessage="1" promptTitle="Module Link" prompt="Only applicable for HTML and Mirror Modules._x000a_For Mirror Modules, provide the link having series ID &amp; module ID." sqref="K20:K103" xr:uid="{6145AF2B-FE71-4140-BB37-6569A0EFD3A7}"/>
    <dataValidation allowBlank="1" showInputMessage="1" showErrorMessage="1" promptTitle="Module File Name" prompt="Mention the file name of the module, using underscores instead of spaces, and include the proper extension (e.g., Black_Belt_Walk_Me.mp4)." sqref="J20:J103" xr:uid="{418DCAFC-7E53-4772-9575-E1BE951250E0}"/>
    <dataValidation type="whole" allowBlank="1" showInputMessage="1" showErrorMessage="1" promptTitle="Module Duration " prompt="Indicate the time span of this module in minutes." sqref="G20:G103" xr:uid="{0105B294-826F-471D-8201-519D22EEAB70}">
      <formula1>1</formula1>
      <formula2>999</formula2>
    </dataValidation>
    <dataValidation type="whole" allowBlank="1" showInputMessage="1" showErrorMessage="1" promptTitle="Module Order" prompt="Specify the position of this module within the section where it will appear." sqref="D20:D103"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20:C103" xr:uid="{63FC4D12-2F0F-437F-91DC-5B19661DAF6A}">
      <formula1>"Mandatory, Optional"</formula1>
    </dataValidation>
    <dataValidation type="whole" allowBlank="1" showInputMessage="1" showErrorMessage="1" promptTitle="Section order" prompt="Only numerical values are accepted." sqref="A20:A103" xr:uid="{CFEEB097-E7D5-4C72-9E21-64BAE556A6CE}">
      <formula1>1</formula1>
      <formula2>84</formula2>
    </dataValidation>
    <dataValidation type="list" allowBlank="1" showInputMessage="1" showErrorMessage="1" sqref="L20:L103" xr:uid="{C91BE8B2-2C66-42DD-AE74-77CC6B81108C}">
      <formula1>UpdateList</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B20:B103 F20:F103" xr:uid="{2B5C9CFF-3D2F-4D94-89A1-7A01ECFCE72E}">
      <formula1>100</formula1>
    </dataValidation>
    <dataValidation type="list" allowBlank="1" showInputMessage="1" showErrorMessage="1" promptTitle="Module Type" prompt="Clarify the kind of module being referred to." sqref="E20:E103" xr:uid="{EC0BD86F-669A-46D3-8BC0-F6EFC4EDB96A}">
      <formula1>$AT$501:$AT$507</formula1>
    </dataValidation>
    <dataValidation type="list" allowBlank="1" showInputMessage="1" showErrorMessage="1" promptTitle="Module Type" prompt="Mention the type of module is being used." sqref="E20:E103" xr:uid="{E37D8A48-9CC3-48FE-B997-BB7B4326B1F3}">
      <formula1>$AT$501:$AT$506</formula1>
    </dataValidation>
    <dataValidation type="list" allowBlank="1" showInputMessage="1" showErrorMessage="1" promptTitle="Module Type" prompt="Mention the tyoe of the module." sqref="E20:E103" xr:uid="{1EC286D7-5D39-4AD1-A178-CE4A60AE7495}">
      <formula1>$AT$501:$AT$507</formula1>
    </dataValidation>
    <dataValidation type="list" allowBlank="1" showInputMessage="1" showErrorMessage="1" sqref="I20:I103" xr:uid="{80EE65DE-9747-4F99-AB44-62FA8C9529BA}">
      <formula1>"Mandatory,Optional"</formula1>
    </dataValidation>
    <dataValidation type="list" allowBlank="1" showInputMessage="1" showErrorMessage="1" errorTitle="Incorrect Input" error="Select a language from the drop down only." promptTitle="Language Selection" prompt="Select the language of the series." sqref="J10" xr:uid="{0A9F5EA2-0716-4928-8223-BCB360987300}">
      <formula1>$AN$501:$AN$508</formula1>
    </dataValidation>
    <dataValidation type="textLength" allowBlank="1" showInputMessage="1" showErrorMessage="1" errorTitle="Character limit breached" error="Field can have minimum 4 &amp; maximum 947 characters." promptTitle="Module Description" prompt="Ensure the module description does not exceed 947 characters." sqref="H20:H58 H60:H103 J59" xr:uid="{479EA571-0D92-4941-9522-0CD7633CB934}">
      <formula1>4</formula1>
      <formula2>947</formula2>
    </dataValidation>
  </dataValidations>
  <hyperlinks>
    <hyperlink ref="A1:L1" r:id="rId1" display="Mindtickle Series Template v3" xr:uid="{46403754-8E6B-4193-B39F-543AA832A6A8}"/>
    <hyperlink ref="G14" r:id="rId2" xr:uid="{5D7D0A9F-8905-4467-8F4F-282CF4B196F3}"/>
    <hyperlink ref="I14" r:id="rId3" xr:uid="{688FE3F4-227D-45C1-B4CB-35C6961193DF}"/>
  </hyperlinks>
  <pageMargins left="0.7" right="0.7" top="0.75" bottom="0.75" header="0.3" footer="0.3"/>
  <headerFooter>
    <oddFooter>&amp;R_x000D_&amp;1#&amp;"Calibri"&amp;8&amp;K000000 Cisco Confidential</oddFooter>
  </headerFooter>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sheetPr codeName="Sheet5"/>
  <dimension ref="A1:F46"/>
  <sheetViews>
    <sheetView showGridLines="0" zoomScaleNormal="100" workbookViewId="0">
      <pane ySplit="4" topLeftCell="A12" activePane="bottomLeft" state="frozen"/>
      <selection activeCell="E25" sqref="E25"/>
      <selection pane="bottomLeft" activeCell="A46" sqref="A46:F46"/>
    </sheetView>
  </sheetViews>
  <sheetFormatPr baseColWidth="10" defaultColWidth="8.83203125" defaultRowHeight="15" x14ac:dyDescent="0.2"/>
  <cols>
    <col min="1" max="2" width="20" style="1" customWidth="1"/>
    <col min="3" max="3" width="41.6640625" style="1" customWidth="1"/>
    <col min="4" max="4" width="51" style="1" customWidth="1"/>
    <col min="5" max="5" width="90" style="1" customWidth="1"/>
    <col min="6" max="6" width="53.1640625" style="1" customWidth="1"/>
    <col min="7" max="17" width="8.83203125" style="1"/>
    <col min="18" max="18" width="12.1640625" style="1" customWidth="1"/>
    <col min="19" max="19" width="19.6640625" style="1" customWidth="1"/>
    <col min="20" max="20" width="15.83203125" style="1" customWidth="1"/>
    <col min="21" max="21" width="19.33203125" style="1" customWidth="1"/>
    <col min="22" max="22" width="17.6640625" style="1" customWidth="1"/>
    <col min="23" max="23" width="12.5" style="1" customWidth="1"/>
    <col min="24" max="16384" width="8.83203125" style="1"/>
  </cols>
  <sheetData>
    <row r="1" spans="1:6" ht="27" x14ac:dyDescent="0.2">
      <c r="A1" s="76" t="str">
        <f ca="1">IF(OR(LEN(Series!$B$3)&lt;5,Series!$F$10="Stage 1",Series!$F$10="On Going"),"",_xlfn.CONCAT(Series!$B$3," Submission Guidelines"))</f>
        <v>Black Belt Cloud Calling Deployment Stage 2 (Jun 2026) Submission Guidelines</v>
      </c>
      <c r="B1" s="76"/>
      <c r="C1" s="76"/>
      <c r="D1" s="76"/>
      <c r="E1" s="76"/>
      <c r="F1" s="76"/>
    </row>
    <row r="3" spans="1:6" ht="28.25" customHeight="1" x14ac:dyDescent="0.2">
      <c r="A3" s="12">
        <f ca="1">IF($A$4="Missions",COUNTIF($A$5:$A$9,"*Mission*"),"")</f>
        <v>0</v>
      </c>
      <c r="B3" s="12">
        <f ca="1">IF($A$4="Missions",COUNTA($B$5:$B$9),"")</f>
        <v>0</v>
      </c>
      <c r="C3" s="12" cm="1">
        <f t="array" aca="1" ref="C3" ca="1">IF($A$4="Missions",IFERROR(ROWS(_xlfn.UNIQUE(_xlfn._xlws.FILTER($C$5:$C$9, $C$5:$C$9&lt;&gt;""))), 0),"")</f>
        <v>0</v>
      </c>
      <c r="D3" s="12">
        <f ca="1">IF($A$4="Missions",COUNTA($D$5:$D$9),"")</f>
        <v>0</v>
      </c>
      <c r="E3" s="12">
        <f ca="1">IF($A$4="Missions",COUNTA($E$5:$E$9),"")</f>
        <v>0</v>
      </c>
      <c r="F3" s="12" cm="1">
        <f t="array" aca="1" ref="F3" ca="1">IF($A$4="Missions",SUMPRODUCT(
((ISNUMBER(SEARCH("CTF",$A$5:$A$9))+ISNUMBER(SEARCH("dCloud",$A$5:$A$9))&gt;0)*($F$5:$F$9&lt;&gt;""))+
((ISNUMBER(SEARCH("CTF",$A$5:$A$9))+ISNUMBER(SEARCH("dCloud",$A$5:$A$9))=0)*($A$5:$A$9&lt;&gt;""))
),"")</f>
        <v>0</v>
      </c>
    </row>
    <row r="4" spans="1:6" ht="28.25" customHeight="1" x14ac:dyDescent="0.2">
      <c r="A4" s="15" t="str">
        <f ca="1">IFERROR(IF(SEARCH("Black Belt",$A$1),"Missions",""),"")</f>
        <v>Missions</v>
      </c>
      <c r="B4" s="15" t="str">
        <f ca="1">IFERROR(IF($A$4="Missions","Choice",""),"")</f>
        <v>Choice</v>
      </c>
      <c r="C4" s="15" t="str">
        <f ca="1">IFERROR(IF($A$4="Missions","Mission Title",""),"")</f>
        <v>Mission Title</v>
      </c>
      <c r="D4" s="15" t="str">
        <f ca="1">IFERROR(IF($A$4="Missions","Mission Subtitle",""),"")</f>
        <v>Mission Subtitle</v>
      </c>
      <c r="E4" s="15" t="str">
        <f ca="1">IFERROR(IF($A$4="Missions","Mission Description",""),"")</f>
        <v>Mission Description</v>
      </c>
      <c r="F4" s="15" t="str">
        <f ca="1">IFERROR(IF($A$4="Missions","Link",""),"")</f>
        <v>Link</v>
      </c>
    </row>
    <row r="5" spans="1:6" ht="56.5" customHeight="1" x14ac:dyDescent="0.2">
      <c r="A5" s="45"/>
      <c r="B5" s="45"/>
      <c r="C5" s="24"/>
      <c r="D5" s="24"/>
      <c r="E5" s="24"/>
      <c r="F5" s="45"/>
    </row>
    <row r="6" spans="1:6" ht="56.5" customHeight="1" x14ac:dyDescent="0.2">
      <c r="A6" s="45"/>
      <c r="B6" s="45"/>
      <c r="C6" s="24"/>
      <c r="D6" s="24"/>
      <c r="E6" s="24"/>
      <c r="F6" s="45"/>
    </row>
    <row r="7" spans="1:6" ht="56.5" customHeight="1" x14ac:dyDescent="0.2">
      <c r="A7" s="45"/>
      <c r="B7" s="45"/>
      <c r="C7" s="24"/>
      <c r="D7" s="24"/>
      <c r="E7" s="24"/>
      <c r="F7" s="45"/>
    </row>
    <row r="8" spans="1:6" ht="56.5" customHeight="1" x14ac:dyDescent="0.2">
      <c r="A8" s="45"/>
      <c r="B8" s="45"/>
      <c r="C8" s="24"/>
      <c r="D8" s="24"/>
      <c r="E8" s="24"/>
      <c r="F8" s="45"/>
    </row>
    <row r="9" spans="1:6" ht="56.5" customHeight="1" x14ac:dyDescent="0.2">
      <c r="A9" s="45"/>
      <c r="B9" s="45"/>
      <c r="C9" s="24"/>
      <c r="D9" s="24"/>
      <c r="E9" s="24"/>
      <c r="F9" s="45"/>
    </row>
    <row r="10" spans="1:6" ht="28.25" customHeight="1" thickBot="1" x14ac:dyDescent="0.25">
      <c r="A10" s="43"/>
      <c r="B10" s="43"/>
      <c r="C10" s="44"/>
      <c r="D10" s="44"/>
      <c r="E10" s="43"/>
      <c r="F10" s="44"/>
    </row>
    <row r="11" spans="1:6" ht="28.25" customHeight="1" thickTop="1" x14ac:dyDescent="0.2">
      <c r="A11" s="15"/>
      <c r="B11" s="15"/>
      <c r="C11" s="31"/>
      <c r="D11" s="31"/>
      <c r="E11" s="15"/>
      <c r="F11" s="31"/>
    </row>
    <row r="12" spans="1:6" ht="28.25" customHeight="1" x14ac:dyDescent="0.2">
      <c r="A12" s="77" t="str" cm="1">
        <f t="array" ref="A12">IFERROR(_xlfn.LET(
    _xlpm.ops, B5:B9,
    _xlpm.titles, C5:C9,
    _xlpm.groups, _xlfn.SCAN(0, _xlpm.ops, _xlfn.LAMBDA(_xlpm.a,_xlpm.b, _xlpm.a + IF(_xlpm.b="And", 1, 0))),
    _xlpm.u_groups, _xlfn.UNIQUE(_xlfn._xlws.FILTER(_xlpm.groups, _xlpm.groups&gt;0)),
    _xlpm.processed_groups, _xlfn.MAP(_xlpm.u_groups, _xlfn.LAMBDA(_xlpm.g,
        _xlfn.LET(
            _xlpm.items, _xlfn._xlws.FILTER(_xlpm.titles, _xlpm.groups=_xlpm.g),
            _xlpm.cnt, ROWS(_xlpm.items),
            IF(_xlpm.cnt=1, _xlpm.items,
            IF(_xlpm.cnt=2, INDEX(_xlpm.items, 1) &amp; " or " &amp; INDEX(_xlpm.items, 2),
            _xlfn.TEXTJOIN(", ", TRUE, _xlfn.TAKE(_xlpm.items, _xlpm.cnt-1)) &amp; " or " &amp; _xlfn.TAKE(_xlpm.items, -1)))
        )
    )),
    "Attention: You are guiding users to complete " &amp; ROWS(_xlpm.u_groups) &amp; " missions. Choose one from each of the following groups: (" &amp; _xlfn.TEXTJOIN(") AND (", TRUE, _xlpm.processed_groups) &amp; ")."
),"")</f>
        <v/>
      </c>
      <c r="B12" s="77"/>
      <c r="C12" s="77"/>
      <c r="D12" s="77"/>
      <c r="E12" s="77"/>
      <c r="F12" s="77"/>
    </row>
    <row r="13" spans="1:6" ht="28.25" customHeight="1" x14ac:dyDescent="0.2">
      <c r="A13" s="15"/>
      <c r="B13" s="15"/>
      <c r="C13" s="31"/>
      <c r="D13" s="31"/>
      <c r="E13" s="15"/>
      <c r="F13" s="31"/>
    </row>
    <row r="14" spans="1:6" ht="28.25" customHeight="1" x14ac:dyDescent="0.2">
      <c r="A14" s="15"/>
      <c r="B14" s="15"/>
      <c r="C14" s="31"/>
      <c r="D14" s="31"/>
      <c r="E14" s="15"/>
      <c r="F14" s="31"/>
    </row>
    <row r="15" spans="1:6" ht="28.25" customHeight="1" x14ac:dyDescent="0.2">
      <c r="A15" s="15"/>
      <c r="B15" s="15"/>
      <c r="C15" s="31"/>
      <c r="D15" s="31"/>
      <c r="E15" s="15"/>
      <c r="F15" s="31"/>
    </row>
    <row r="16" spans="1:6" ht="28.25" customHeight="1" x14ac:dyDescent="0.2">
      <c r="A16" s="15"/>
      <c r="B16" s="15"/>
      <c r="C16" s="31"/>
      <c r="D16" s="31"/>
      <c r="E16" s="15"/>
      <c r="F16" s="31"/>
    </row>
    <row r="17" spans="1:6" ht="28.25" customHeight="1" x14ac:dyDescent="0.2">
      <c r="A17" s="15"/>
      <c r="B17" s="15"/>
      <c r="C17" s="31"/>
      <c r="D17" s="31"/>
      <c r="E17" s="15"/>
      <c r="F17" s="31"/>
    </row>
    <row r="18" spans="1:6" ht="28.25" customHeight="1" x14ac:dyDescent="0.2">
      <c r="A18" s="15"/>
      <c r="B18" s="15"/>
      <c r="C18" s="31"/>
      <c r="D18" s="31"/>
      <c r="E18" s="15"/>
      <c r="F18" s="31"/>
    </row>
    <row r="19" spans="1:6" ht="28.25" customHeight="1" x14ac:dyDescent="0.2">
      <c r="A19" s="15"/>
      <c r="B19" s="15"/>
      <c r="C19" s="31"/>
      <c r="D19" s="31"/>
      <c r="E19" s="15"/>
      <c r="F19" s="31"/>
    </row>
    <row r="20" spans="1:6" ht="28.25" customHeight="1" x14ac:dyDescent="0.2">
      <c r="A20" s="15"/>
      <c r="B20" s="15"/>
      <c r="C20" s="31"/>
      <c r="D20" s="31"/>
      <c r="E20" s="15"/>
      <c r="F20" s="31"/>
    </row>
    <row r="21" spans="1:6" ht="28.25" customHeight="1" x14ac:dyDescent="0.2">
      <c r="A21" s="15"/>
      <c r="B21" s="15"/>
      <c r="C21" s="31"/>
      <c r="D21" s="31"/>
      <c r="E21" s="15"/>
      <c r="F21" s="31"/>
    </row>
    <row r="22" spans="1:6" ht="28.25" customHeight="1" x14ac:dyDescent="0.2">
      <c r="A22" s="15"/>
      <c r="B22" s="15"/>
      <c r="C22" s="31"/>
      <c r="D22" s="31"/>
      <c r="E22" s="15"/>
      <c r="F22" s="31"/>
    </row>
    <row r="23" spans="1:6" ht="28.25" customHeight="1" x14ac:dyDescent="0.2">
      <c r="A23" s="15"/>
      <c r="B23" s="15"/>
      <c r="C23" s="31"/>
      <c r="D23" s="31"/>
      <c r="E23" s="15"/>
      <c r="F23" s="31"/>
    </row>
    <row r="24" spans="1:6" ht="28.25" customHeight="1" x14ac:dyDescent="0.2">
      <c r="A24" s="15"/>
      <c r="B24" s="15"/>
      <c r="C24" s="31"/>
      <c r="D24" s="31"/>
      <c r="E24" s="15"/>
      <c r="F24" s="31"/>
    </row>
    <row r="25" spans="1:6" ht="28.25" customHeight="1" x14ac:dyDescent="0.2">
      <c r="A25" s="15"/>
      <c r="B25" s="15"/>
      <c r="C25" s="31"/>
      <c r="D25" s="31"/>
      <c r="E25" s="15"/>
      <c r="F25" s="31"/>
    </row>
    <row r="26" spans="1:6" ht="28.25" customHeight="1" x14ac:dyDescent="0.2">
      <c r="A26" s="15"/>
      <c r="B26" s="15"/>
      <c r="C26" s="31"/>
      <c r="D26" s="31"/>
      <c r="E26" s="15"/>
      <c r="F26" s="31"/>
    </row>
    <row r="27" spans="1:6" ht="28.25" customHeight="1" x14ac:dyDescent="0.2">
      <c r="A27" s="15"/>
      <c r="B27" s="15"/>
      <c r="C27" s="31"/>
      <c r="D27" s="31"/>
      <c r="E27" s="15"/>
      <c r="F27" s="31"/>
    </row>
    <row r="28" spans="1:6" ht="28.25" customHeight="1" x14ac:dyDescent="0.2">
      <c r="A28" s="15"/>
      <c r="B28" s="15"/>
      <c r="C28" s="31"/>
      <c r="D28" s="31"/>
      <c r="E28" s="15"/>
      <c r="F28" s="31"/>
    </row>
    <row r="29" spans="1:6" ht="28.25" customHeight="1" x14ac:dyDescent="0.2">
      <c r="A29" s="15"/>
      <c r="B29" s="15"/>
      <c r="C29" s="31"/>
      <c r="D29" s="31"/>
      <c r="E29" s="15"/>
      <c r="F29" s="31"/>
    </row>
    <row r="30" spans="1:6" ht="28.25" customHeight="1" x14ac:dyDescent="0.2">
      <c r="A30" s="15"/>
      <c r="B30" s="15"/>
      <c r="C30" s="31"/>
      <c r="D30" s="31"/>
      <c r="E30" s="15"/>
      <c r="F30" s="31"/>
    </row>
    <row r="31" spans="1:6" ht="28.25" customHeight="1" x14ac:dyDescent="0.2">
      <c r="A31" s="15"/>
      <c r="B31" s="15"/>
      <c r="C31" s="31"/>
      <c r="D31" s="31"/>
      <c r="E31" s="15"/>
      <c r="F31" s="31"/>
    </row>
    <row r="32" spans="1:6" ht="28.25" customHeight="1" x14ac:dyDescent="0.2">
      <c r="A32" s="15"/>
      <c r="B32" s="15"/>
      <c r="C32" s="31"/>
      <c r="D32" s="31"/>
      <c r="E32" s="15"/>
      <c r="F32" s="31"/>
    </row>
    <row r="33" spans="1:6" ht="28.25" customHeight="1" x14ac:dyDescent="0.2">
      <c r="A33" s="15"/>
      <c r="B33" s="15"/>
      <c r="C33" s="31"/>
      <c r="D33" s="31"/>
      <c r="E33" s="15"/>
      <c r="F33" s="31"/>
    </row>
    <row r="46" spans="1:6" x14ac:dyDescent="0.2">
      <c r="A46" s="78" t="s">
        <v>688</v>
      </c>
      <c r="B46" s="78"/>
      <c r="C46" s="78"/>
      <c r="D46" s="78"/>
      <c r="E46" s="78"/>
      <c r="F46" s="78"/>
    </row>
  </sheetData>
  <sheetProtection algorithmName="SHA-512" hashValue="fK0iD3RxTrCrPi5uTb1dPO9M20TLV475/p+dWCwrBh2Qpfp6ea6/WqhLgUfSY6HJ0lnr0vPEczS5ZkWqpqQ64Q==" saltValue="CN91auIASNayrl38MeUkBA==" spinCount="100000" sheet="1" objects="1" scenarios="1"/>
  <mergeCells count="3">
    <mergeCell ref="A1:F1"/>
    <mergeCell ref="A12:F12"/>
    <mergeCell ref="A46:F46"/>
  </mergeCells>
  <conditionalFormatting sqref="A3:F3">
    <cfRule type="expression" dxfId="10" priority="133">
      <formula>OR(COUNTA($A$5:$A$9)&lt;&gt;$C$3, COUNTA($A$5:$A$9)&lt;&gt;$E$3, COUNTA($A$5:$A$9)&lt;&gt;$F$3)</formula>
    </cfRule>
  </conditionalFormatting>
  <conditionalFormatting sqref="A5:F9">
    <cfRule type="expression" dxfId="9" priority="14">
      <formula>$A$4="Missions"</formula>
    </cfRule>
  </conditionalFormatting>
  <conditionalFormatting sqref="D5:E9">
    <cfRule type="expression" dxfId="8" priority="2">
      <formula>AND(D5&lt;&gt;"", NOT(OR(RIGHT(TRIM(D5),1)=".", RIGHT(TRIM(D5),1)="?", RIGHT(TRIM(D5),1)="!")))</formula>
    </cfRule>
  </conditionalFormatting>
  <conditionalFormatting sqref="F5:F9">
    <cfRule type="expression" dxfId="7" priority="1">
      <formula>$A5&lt;&gt;"Mission: CTF"</formula>
    </cfRule>
    <cfRule type="expression" dxfId="6" priority="150">
      <formula>AND(OR(ISNUMBER(SEARCH("CTF", $A5)), ISNUMBER(SEARCH("dCloud", $A5))), $F5="")</formula>
    </cfRule>
  </conditionalFormatting>
  <dataValidations count="6">
    <dataValidation type="list" allowBlank="1" showInputMessage="1" showErrorMessage="1" sqref="A5:A9" xr:uid="{ED007FD3-C03C-4E0D-A2BB-A402AF36F544}">
      <formula1>"Mission: Case Study,Mission: CTF,Mission: HLD LLD,Mission: Perfect Pitch"</formula1>
    </dataValidation>
    <dataValidation type="textLength" operator="lessThanOrEqual" allowBlank="1" showInputMessage="1" showErrorMessage="1" errorTitle="Input Error" promptTitle="Mission Title" prompt="Enter the title here; it will appear in the SG and as the mission title on Mindtickle (limit: 100 characters)." sqref="C5:C9" xr:uid="{F7E79402-F289-460A-A722-619213D30E7F}">
      <formula1>100</formula1>
    </dataValidation>
    <dataValidation type="textLength" operator="lessThanOrEqual" allowBlank="1" showInputMessage="1" showErrorMessage="1" errorTitle="Input Error" promptTitle="Mission Subtitle" prompt="This text will serve as the mission subtitle in the SG (limit 200 characters)." sqref="D5:D9" xr:uid="{91119B02-5AB3-46A9-AB4B-338710116444}">
      <formula1>200</formula1>
    </dataValidation>
    <dataValidation type="textLength" operator="lessThanOrEqual" allowBlank="1" showInputMessage="1" showErrorMessage="1" errorTitle="Input Error" promptTitle="Mission Description" prompt="Provide the mission description for Mindtickle (limit 1,000 characters)." sqref="E5:E9" xr:uid="{9CA38883-E0E8-4FB6-8FE5-9968126192CC}">
      <formula1>1000</formula1>
    </dataValidation>
    <dataValidation type="list" allowBlank="1" showInputMessage="1" showErrorMessage="1" errorTitle="Incorrect Selection" promptTitle="Provide option to choose" prompt="And: where the mission is compulosry. _x000a_OR: where the mission is one of the available option." sqref="B6:B9" xr:uid="{C6AAF859-2E70-4D56-8C7C-66B26060983A}">
      <formula1>"And,Or"</formula1>
    </dataValidation>
    <dataValidation type="list" allowBlank="1" showInputMessage="1" showErrorMessage="1" errorTitle="Incorrect Selection" promptTitle="Provide option to choose" prompt="And: where the mission is compulosry. _x000a_OR: where the mission is one of the available option." sqref="B5" xr:uid="{273A2528-612F-455E-9A24-99FE5509C813}">
      <formula1>"And"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6454E2-6AF2-48E3-BF8D-BF09C8573F43}">
            <xm:f>Series!$F$10="On Going"</xm:f>
            <x14:dxf>
              <font>
                <b/>
                <i val="0"/>
                <strike val="0"/>
                <color theme="1"/>
              </font>
              <fill>
                <gradientFill>
                  <stop position="0">
                    <color rgb="FFF9C922"/>
                  </stop>
                  <stop position="1">
                    <color rgb="FFF83800"/>
                  </stop>
                </gradientFill>
              </fill>
            </x14:dxf>
          </x14:cfRule>
          <x14:cfRule type="expression" priority="5" id="{410A4A3C-315E-472A-ACE9-EA0B8301C475}">
            <xm:f>Series!$F$10="Stage 3"</xm:f>
            <x14:dxf>
              <font>
                <b/>
                <i val="0"/>
                <strike val="0"/>
                <color theme="0"/>
              </font>
              <fill>
                <gradientFill>
                  <stop position="0">
                    <color rgb="FF0D264E"/>
                  </stop>
                  <stop position="1">
                    <color rgb="FF20099B"/>
                  </stop>
                </gradientFill>
              </fill>
            </x14:dxf>
          </x14:cfRule>
          <x14:cfRule type="expression" priority="6" id="{2D90EF85-8069-4F91-BE68-3B33EAC0EAA6}">
            <xm:f>Series!$F$10="Stage 2"</xm:f>
            <x14:dxf>
              <font>
                <b/>
                <i val="0"/>
                <strike val="0"/>
                <color theme="0"/>
              </font>
              <fill>
                <gradientFill>
                  <stop position="0">
                    <color rgb="FF01BBEA"/>
                  </stop>
                  <stop position="1">
                    <color rgb="FF20639E"/>
                  </stop>
                </gradientFill>
              </fill>
            </x14:dxf>
          </x14:cfRule>
          <xm:sqref>A1:F1 A4:F4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sheetPr codeName="Sheet6"/>
  <dimension ref="A1:L60"/>
  <sheetViews>
    <sheetView showGridLines="0" zoomScaleNormal="100" workbookViewId="0">
      <selection activeCell="B6" sqref="B6"/>
    </sheetView>
  </sheetViews>
  <sheetFormatPr baseColWidth="10" defaultColWidth="8.83203125" defaultRowHeight="15" x14ac:dyDescent="0.2"/>
  <cols>
    <col min="1" max="1" width="10.83203125" customWidth="1"/>
    <col min="2" max="2" width="16.5" customWidth="1"/>
    <col min="3" max="3" width="49.6640625" customWidth="1"/>
    <col min="4" max="4" width="25.6640625" customWidth="1"/>
    <col min="5" max="5" width="57.1640625" customWidth="1"/>
  </cols>
  <sheetData>
    <row r="1" spans="1:12" ht="27" x14ac:dyDescent="0.35">
      <c r="A1" s="82" t="s">
        <v>645</v>
      </c>
      <c r="B1" s="82"/>
      <c r="C1" s="82"/>
      <c r="D1" s="82"/>
      <c r="E1" s="82"/>
      <c r="F1" s="82"/>
      <c r="G1" s="82"/>
      <c r="H1" s="82"/>
      <c r="I1" s="82"/>
      <c r="J1" s="82"/>
      <c r="K1" s="82"/>
      <c r="L1" s="82"/>
    </row>
    <row r="2" spans="1:12" x14ac:dyDescent="0.2">
      <c r="A2" s="1"/>
      <c r="B2" s="1"/>
      <c r="C2" s="1"/>
      <c r="D2" s="1"/>
      <c r="E2" s="1"/>
      <c r="F2" s="1"/>
      <c r="G2" s="1"/>
      <c r="H2" s="1"/>
      <c r="I2" s="1"/>
      <c r="J2" s="1"/>
      <c r="K2" s="1"/>
      <c r="L2" s="1"/>
    </row>
    <row r="3" spans="1:12" x14ac:dyDescent="0.2">
      <c r="A3" s="14" t="s">
        <v>646</v>
      </c>
      <c r="B3" s="83" t="s">
        <v>647</v>
      </c>
      <c r="C3" s="83"/>
      <c r="D3" s="14" t="s">
        <v>648</v>
      </c>
      <c r="E3" s="20" t="s">
        <v>649</v>
      </c>
      <c r="G3" s="84" t="s">
        <v>0</v>
      </c>
      <c r="H3" s="84"/>
      <c r="I3" s="84"/>
      <c r="J3" s="84"/>
      <c r="K3" s="84"/>
      <c r="L3" s="84"/>
    </row>
    <row r="4" spans="1:12" x14ac:dyDescent="0.2">
      <c r="G4" s="79"/>
      <c r="H4" s="80"/>
      <c r="I4" s="80"/>
      <c r="J4" s="80"/>
      <c r="K4" s="80"/>
      <c r="L4" s="81"/>
    </row>
    <row r="5" spans="1:12" x14ac:dyDescent="0.2">
      <c r="A5" s="27" t="s">
        <v>643</v>
      </c>
      <c r="B5" s="27" t="s">
        <v>650</v>
      </c>
      <c r="C5" s="27" t="s">
        <v>60</v>
      </c>
      <c r="D5" s="27" t="s">
        <v>644</v>
      </c>
      <c r="E5" s="27" t="s">
        <v>651</v>
      </c>
      <c r="G5" s="79"/>
      <c r="H5" s="80"/>
      <c r="I5" s="80"/>
      <c r="J5" s="80"/>
      <c r="K5" s="80"/>
      <c r="L5" s="81"/>
    </row>
    <row r="6" spans="1:12" x14ac:dyDescent="0.2">
      <c r="A6" s="28"/>
      <c r="B6" s="28"/>
      <c r="C6" s="28"/>
      <c r="D6" s="28"/>
      <c r="E6" s="28"/>
      <c r="G6" s="79"/>
      <c r="H6" s="80"/>
      <c r="I6" s="80"/>
      <c r="J6" s="80"/>
      <c r="K6" s="80"/>
      <c r="L6" s="81"/>
    </row>
    <row r="7" spans="1:12" x14ac:dyDescent="0.2">
      <c r="A7" s="29"/>
      <c r="B7" s="29"/>
      <c r="C7" s="29"/>
      <c r="D7" s="29"/>
      <c r="E7" s="29"/>
      <c r="G7" s="79"/>
      <c r="H7" s="80"/>
      <c r="I7" s="80"/>
      <c r="J7" s="80"/>
      <c r="K7" s="80"/>
      <c r="L7" s="81"/>
    </row>
    <row r="8" spans="1:12" x14ac:dyDescent="0.2">
      <c r="A8" s="29"/>
      <c r="B8" s="29"/>
      <c r="C8" s="29"/>
      <c r="D8" s="29"/>
      <c r="E8" s="29"/>
      <c r="G8" s="79"/>
      <c r="H8" s="80"/>
      <c r="I8" s="80"/>
      <c r="J8" s="80"/>
      <c r="K8" s="80"/>
      <c r="L8" s="81"/>
    </row>
    <row r="9" spans="1:12" x14ac:dyDescent="0.2">
      <c r="A9" s="29"/>
      <c r="B9" s="29"/>
      <c r="C9" s="29"/>
      <c r="D9" s="29"/>
      <c r="E9" s="29"/>
      <c r="G9" s="79"/>
      <c r="H9" s="80"/>
      <c r="I9" s="80"/>
      <c r="J9" s="80"/>
      <c r="K9" s="80"/>
      <c r="L9" s="81"/>
    </row>
    <row r="10" spans="1:12" x14ac:dyDescent="0.2">
      <c r="A10" s="29"/>
      <c r="B10" s="29"/>
      <c r="C10" s="29"/>
      <c r="D10" s="29"/>
      <c r="E10" s="29"/>
      <c r="G10" s="79"/>
      <c r="H10" s="80"/>
      <c r="I10" s="80"/>
      <c r="J10" s="80"/>
      <c r="K10" s="80"/>
      <c r="L10" s="81"/>
    </row>
    <row r="11" spans="1:12" x14ac:dyDescent="0.2">
      <c r="A11" s="29"/>
      <c r="B11" s="29"/>
      <c r="C11" s="29"/>
      <c r="D11" s="29"/>
      <c r="E11" s="29"/>
      <c r="G11" s="79"/>
      <c r="H11" s="80"/>
      <c r="I11" s="80"/>
      <c r="J11" s="80"/>
      <c r="K11" s="80"/>
      <c r="L11" s="81"/>
    </row>
    <row r="12" spans="1:12" x14ac:dyDescent="0.2">
      <c r="A12" s="29"/>
      <c r="B12" s="29"/>
      <c r="C12" s="29"/>
      <c r="D12" s="29"/>
      <c r="E12" s="29"/>
      <c r="G12" s="79"/>
      <c r="H12" s="80"/>
      <c r="I12" s="80"/>
      <c r="J12" s="80"/>
      <c r="K12" s="80"/>
      <c r="L12" s="81"/>
    </row>
    <row r="13" spans="1:12" x14ac:dyDescent="0.2">
      <c r="A13" s="29"/>
      <c r="B13" s="29"/>
      <c r="C13" s="29"/>
      <c r="D13" s="29"/>
      <c r="E13" s="29"/>
      <c r="G13" s="79"/>
      <c r="H13" s="80"/>
      <c r="I13" s="80"/>
      <c r="J13" s="80"/>
      <c r="K13" s="80"/>
      <c r="L13" s="81"/>
    </row>
    <row r="14" spans="1:12" x14ac:dyDescent="0.2">
      <c r="A14" s="29"/>
      <c r="B14" s="29"/>
      <c r="C14" s="29"/>
      <c r="D14" s="29"/>
      <c r="E14" s="29"/>
      <c r="G14" s="79"/>
      <c r="H14" s="80"/>
      <c r="I14" s="80"/>
      <c r="J14" s="80"/>
      <c r="K14" s="80"/>
      <c r="L14" s="81"/>
    </row>
    <row r="15" spans="1:12" x14ac:dyDescent="0.2">
      <c r="A15" s="29"/>
      <c r="B15" s="29"/>
      <c r="C15" s="29"/>
      <c r="D15" s="29"/>
      <c r="E15" s="29"/>
      <c r="G15" s="79"/>
      <c r="H15" s="80"/>
      <c r="I15" s="80"/>
      <c r="J15" s="80"/>
      <c r="K15" s="80"/>
      <c r="L15" s="81"/>
    </row>
    <row r="16" spans="1:12" x14ac:dyDescent="0.2">
      <c r="A16" s="29"/>
      <c r="B16" s="29"/>
      <c r="C16" s="29"/>
      <c r="D16" s="29"/>
      <c r="E16" s="29"/>
      <c r="G16" s="79"/>
      <c r="H16" s="80"/>
      <c r="I16" s="80"/>
      <c r="J16" s="80"/>
      <c r="K16" s="80"/>
      <c r="L16" s="81"/>
    </row>
    <row r="17" spans="1:12" x14ac:dyDescent="0.2">
      <c r="A17" s="29"/>
      <c r="B17" s="29"/>
      <c r="C17" s="29"/>
      <c r="D17" s="29"/>
      <c r="E17" s="29"/>
      <c r="G17" s="79"/>
      <c r="H17" s="80"/>
      <c r="I17" s="80"/>
      <c r="J17" s="80"/>
      <c r="K17" s="80"/>
      <c r="L17" s="81"/>
    </row>
    <row r="18" spans="1:12" x14ac:dyDescent="0.2">
      <c r="A18" s="29"/>
      <c r="B18" s="29"/>
      <c r="C18" s="29"/>
      <c r="D18" s="29"/>
      <c r="E18" s="29"/>
      <c r="G18" s="79"/>
      <c r="H18" s="80"/>
      <c r="I18" s="80"/>
      <c r="J18" s="80"/>
      <c r="K18" s="80"/>
      <c r="L18" s="81"/>
    </row>
    <row r="19" spans="1:12" x14ac:dyDescent="0.2">
      <c r="A19" s="29"/>
      <c r="B19" s="29"/>
      <c r="C19" s="29"/>
      <c r="D19" s="29"/>
      <c r="E19" s="29"/>
      <c r="G19" s="79"/>
      <c r="H19" s="80"/>
      <c r="I19" s="80"/>
      <c r="J19" s="80"/>
      <c r="K19" s="80"/>
      <c r="L19" s="81"/>
    </row>
    <row r="20" spans="1:12" x14ac:dyDescent="0.2">
      <c r="A20" s="29"/>
      <c r="B20" s="29"/>
      <c r="C20" s="29"/>
      <c r="D20" s="29"/>
      <c r="E20" s="29"/>
      <c r="G20" s="79"/>
      <c r="H20" s="80"/>
      <c r="I20" s="80"/>
      <c r="J20" s="80"/>
      <c r="K20" s="80"/>
      <c r="L20" s="81"/>
    </row>
    <row r="21" spans="1:12" x14ac:dyDescent="0.2">
      <c r="A21" s="29"/>
      <c r="B21" s="29"/>
      <c r="C21" s="29"/>
      <c r="D21" s="29"/>
      <c r="E21" s="29"/>
      <c r="G21" s="79"/>
      <c r="H21" s="80"/>
      <c r="I21" s="80"/>
      <c r="J21" s="80"/>
      <c r="K21" s="80"/>
      <c r="L21" s="81"/>
    </row>
    <row r="22" spans="1:12" x14ac:dyDescent="0.2">
      <c r="A22" s="29"/>
      <c r="B22" s="29"/>
      <c r="C22" s="29"/>
      <c r="D22" s="29"/>
      <c r="E22" s="29"/>
      <c r="G22" s="79"/>
      <c r="H22" s="80"/>
      <c r="I22" s="80"/>
      <c r="J22" s="80"/>
      <c r="K22" s="80"/>
      <c r="L22" s="81"/>
    </row>
    <row r="23" spans="1:12" x14ac:dyDescent="0.2">
      <c r="A23" s="29"/>
      <c r="B23" s="29"/>
      <c r="C23" s="29"/>
      <c r="D23" s="29"/>
      <c r="E23" s="29"/>
      <c r="G23" s="79"/>
      <c r="H23" s="80"/>
      <c r="I23" s="80"/>
      <c r="J23" s="80"/>
      <c r="K23" s="80"/>
      <c r="L23" s="81"/>
    </row>
    <row r="24" spans="1:12" x14ac:dyDescent="0.2">
      <c r="A24" s="29"/>
      <c r="B24" s="29"/>
      <c r="C24" s="29"/>
      <c r="D24" s="29"/>
      <c r="E24" s="29"/>
      <c r="G24" s="79"/>
      <c r="H24" s="80"/>
      <c r="I24" s="80"/>
      <c r="J24" s="80"/>
      <c r="K24" s="80"/>
      <c r="L24" s="81"/>
    </row>
    <row r="25" spans="1:12" x14ac:dyDescent="0.2">
      <c r="A25" s="29"/>
      <c r="B25" s="29"/>
      <c r="C25" s="29"/>
      <c r="D25" s="29"/>
      <c r="E25" s="29"/>
      <c r="G25" s="79"/>
      <c r="H25" s="80"/>
      <c r="I25" s="80"/>
      <c r="J25" s="80"/>
      <c r="K25" s="80"/>
      <c r="L25" s="81"/>
    </row>
    <row r="26" spans="1:12" x14ac:dyDescent="0.2">
      <c r="A26" s="29"/>
      <c r="B26" s="29"/>
      <c r="C26" s="29"/>
      <c r="D26" s="29"/>
      <c r="E26" s="29"/>
      <c r="G26" s="79"/>
      <c r="H26" s="80"/>
      <c r="I26" s="80"/>
      <c r="J26" s="80"/>
      <c r="K26" s="80"/>
      <c r="L26" s="81"/>
    </row>
    <row r="27" spans="1:12" x14ac:dyDescent="0.2">
      <c r="A27" s="29"/>
      <c r="B27" s="29"/>
      <c r="C27" s="29"/>
      <c r="D27" s="29"/>
      <c r="E27" s="29"/>
      <c r="G27" s="79"/>
      <c r="H27" s="80"/>
      <c r="I27" s="80"/>
      <c r="J27" s="80"/>
      <c r="K27" s="80"/>
      <c r="L27" s="81"/>
    </row>
    <row r="28" spans="1:12" x14ac:dyDescent="0.2">
      <c r="A28" s="29"/>
      <c r="B28" s="29"/>
      <c r="C28" s="29"/>
      <c r="D28" s="29"/>
      <c r="E28" s="29"/>
      <c r="G28" s="79"/>
      <c r="H28" s="80"/>
      <c r="I28" s="80"/>
      <c r="J28" s="80"/>
      <c r="K28" s="80"/>
      <c r="L28" s="81"/>
    </row>
    <row r="29" spans="1:12" x14ac:dyDescent="0.2">
      <c r="A29" s="29"/>
      <c r="B29" s="29"/>
      <c r="C29" s="29"/>
      <c r="D29" s="29"/>
      <c r="E29" s="29"/>
      <c r="G29" s="79"/>
      <c r="H29" s="80"/>
      <c r="I29" s="80"/>
      <c r="J29" s="80"/>
      <c r="K29" s="80"/>
      <c r="L29" s="81"/>
    </row>
    <row r="30" spans="1:12" x14ac:dyDescent="0.2">
      <c r="A30" s="29"/>
      <c r="B30" s="29"/>
      <c r="C30" s="29"/>
      <c r="D30" s="29"/>
      <c r="E30" s="29"/>
      <c r="G30" s="79"/>
      <c r="H30" s="80"/>
      <c r="I30" s="80"/>
      <c r="J30" s="80"/>
      <c r="K30" s="80"/>
      <c r="L30" s="81"/>
    </row>
    <row r="31" spans="1:12" x14ac:dyDescent="0.2">
      <c r="A31" s="29"/>
      <c r="B31" s="29"/>
      <c r="C31" s="29"/>
      <c r="D31" s="29"/>
      <c r="E31" s="29"/>
      <c r="G31" s="79"/>
      <c r="H31" s="80"/>
      <c r="I31" s="80"/>
      <c r="J31" s="80"/>
      <c r="K31" s="80"/>
      <c r="L31" s="81"/>
    </row>
    <row r="32" spans="1:12" x14ac:dyDescent="0.2">
      <c r="A32" s="29"/>
      <c r="B32" s="29"/>
      <c r="C32" s="29"/>
      <c r="D32" s="29"/>
      <c r="E32" s="29"/>
      <c r="G32" s="79"/>
      <c r="H32" s="80"/>
      <c r="I32" s="80"/>
      <c r="J32" s="80"/>
      <c r="K32" s="80"/>
      <c r="L32" s="81"/>
    </row>
    <row r="33" spans="1:12" x14ac:dyDescent="0.2">
      <c r="A33" s="29"/>
      <c r="B33" s="29"/>
      <c r="C33" s="29"/>
      <c r="D33" s="29"/>
      <c r="E33" s="29"/>
      <c r="G33" s="79"/>
      <c r="H33" s="80"/>
      <c r="I33" s="80"/>
      <c r="J33" s="80"/>
      <c r="K33" s="80"/>
      <c r="L33" s="81"/>
    </row>
    <row r="34" spans="1:12" x14ac:dyDescent="0.2">
      <c r="A34" s="29"/>
      <c r="B34" s="29"/>
      <c r="C34" s="29"/>
      <c r="D34" s="29"/>
      <c r="E34" s="29"/>
      <c r="G34" s="79"/>
      <c r="H34" s="80"/>
      <c r="I34" s="80"/>
      <c r="J34" s="80"/>
      <c r="K34" s="80"/>
      <c r="L34" s="81"/>
    </row>
    <row r="35" spans="1:12" x14ac:dyDescent="0.2">
      <c r="A35" s="29"/>
      <c r="B35" s="29"/>
      <c r="C35" s="29"/>
      <c r="D35" s="29"/>
      <c r="E35" s="29"/>
      <c r="G35" s="79"/>
      <c r="H35" s="80"/>
      <c r="I35" s="80"/>
      <c r="J35" s="80"/>
      <c r="K35" s="80"/>
      <c r="L35" s="81"/>
    </row>
    <row r="36" spans="1:12" x14ac:dyDescent="0.2">
      <c r="A36" s="29"/>
      <c r="B36" s="29"/>
      <c r="C36" s="29"/>
      <c r="D36" s="29"/>
      <c r="E36" s="29"/>
      <c r="G36" s="79"/>
      <c r="H36" s="80"/>
      <c r="I36" s="80"/>
      <c r="J36" s="80"/>
      <c r="K36" s="80"/>
      <c r="L36" s="81"/>
    </row>
    <row r="37" spans="1:12" x14ac:dyDescent="0.2">
      <c r="A37" s="29"/>
      <c r="B37" s="29"/>
      <c r="C37" s="29"/>
      <c r="D37" s="29"/>
      <c r="E37" s="29"/>
      <c r="G37" s="79"/>
      <c r="H37" s="80"/>
      <c r="I37" s="80"/>
      <c r="J37" s="80"/>
      <c r="K37" s="80"/>
      <c r="L37" s="81"/>
    </row>
    <row r="38" spans="1:12" x14ac:dyDescent="0.2">
      <c r="A38" s="29"/>
      <c r="B38" s="29"/>
      <c r="C38" s="29"/>
      <c r="D38" s="29"/>
      <c r="E38" s="29"/>
      <c r="G38" s="79"/>
      <c r="H38" s="80"/>
      <c r="I38" s="80"/>
      <c r="J38" s="80"/>
      <c r="K38" s="80"/>
      <c r="L38" s="81"/>
    </row>
    <row r="39" spans="1:12" x14ac:dyDescent="0.2">
      <c r="A39" s="29"/>
      <c r="B39" s="29"/>
      <c r="C39" s="29"/>
      <c r="D39" s="29"/>
      <c r="E39" s="29"/>
      <c r="G39" s="79"/>
      <c r="H39" s="80"/>
      <c r="I39" s="80"/>
      <c r="J39" s="80"/>
      <c r="K39" s="80"/>
      <c r="L39" s="81"/>
    </row>
    <row r="40" spans="1:12" x14ac:dyDescent="0.2">
      <c r="A40" s="29"/>
      <c r="B40" s="29"/>
      <c r="C40" s="29"/>
      <c r="D40" s="29"/>
      <c r="E40" s="29"/>
      <c r="G40" s="79"/>
      <c r="H40" s="80"/>
      <c r="I40" s="80"/>
      <c r="J40" s="80"/>
      <c r="K40" s="80"/>
      <c r="L40" s="81"/>
    </row>
    <row r="41" spans="1:12" x14ac:dyDescent="0.2">
      <c r="A41" s="29"/>
      <c r="B41" s="29"/>
      <c r="C41" s="29"/>
      <c r="D41" s="29"/>
      <c r="E41" s="29"/>
      <c r="G41" s="79"/>
      <c r="H41" s="80"/>
      <c r="I41" s="80"/>
      <c r="J41" s="80"/>
      <c r="K41" s="80"/>
      <c r="L41" s="81"/>
    </row>
    <row r="42" spans="1:12" x14ac:dyDescent="0.2">
      <c r="A42" s="29"/>
      <c r="B42" s="29"/>
      <c r="C42" s="29"/>
      <c r="D42" s="29"/>
      <c r="E42" s="29"/>
      <c r="G42" s="79"/>
      <c r="H42" s="80"/>
      <c r="I42" s="80"/>
      <c r="J42" s="80"/>
      <c r="K42" s="80"/>
      <c r="L42" s="81"/>
    </row>
    <row r="43" spans="1:12" x14ac:dyDescent="0.2">
      <c r="A43" s="29"/>
      <c r="B43" s="29"/>
      <c r="C43" s="29"/>
      <c r="D43" s="29"/>
      <c r="E43" s="29"/>
      <c r="G43" s="79"/>
      <c r="H43" s="80"/>
      <c r="I43" s="80"/>
      <c r="J43" s="80"/>
      <c r="K43" s="80"/>
      <c r="L43" s="81"/>
    </row>
    <row r="44" spans="1:12" x14ac:dyDescent="0.2">
      <c r="A44" s="29"/>
      <c r="B44" s="29"/>
      <c r="C44" s="29"/>
      <c r="D44" s="29"/>
      <c r="E44" s="29"/>
      <c r="G44" s="79"/>
      <c r="H44" s="80"/>
      <c r="I44" s="80"/>
      <c r="J44" s="80"/>
      <c r="K44" s="80"/>
      <c r="L44" s="81"/>
    </row>
    <row r="45" spans="1:12" x14ac:dyDescent="0.2">
      <c r="A45" s="29"/>
      <c r="B45" s="29"/>
      <c r="C45" s="29"/>
      <c r="D45" s="29"/>
      <c r="E45" s="29"/>
      <c r="G45" s="79"/>
      <c r="H45" s="80"/>
      <c r="I45" s="80"/>
      <c r="J45" s="80"/>
      <c r="K45" s="80"/>
      <c r="L45" s="81"/>
    </row>
    <row r="46" spans="1:12" x14ac:dyDescent="0.2">
      <c r="A46" s="29"/>
      <c r="B46" s="29"/>
      <c r="C46" s="29"/>
      <c r="D46" s="29"/>
      <c r="E46" s="29"/>
      <c r="G46" s="79"/>
      <c r="H46" s="80"/>
      <c r="I46" s="80"/>
      <c r="J46" s="80"/>
      <c r="K46" s="80"/>
      <c r="L46" s="81"/>
    </row>
    <row r="47" spans="1:12" x14ac:dyDescent="0.2">
      <c r="A47" s="29"/>
      <c r="B47" s="29"/>
      <c r="C47" s="29"/>
      <c r="D47" s="29"/>
      <c r="E47" s="29"/>
      <c r="G47" s="79"/>
      <c r="H47" s="80"/>
      <c r="I47" s="80"/>
      <c r="J47" s="80"/>
      <c r="K47" s="80"/>
      <c r="L47" s="81"/>
    </row>
    <row r="48" spans="1:12" x14ac:dyDescent="0.2">
      <c r="A48" s="29"/>
      <c r="B48" s="29"/>
      <c r="C48" s="29"/>
      <c r="D48" s="29"/>
      <c r="E48" s="29"/>
      <c r="G48" s="79"/>
      <c r="H48" s="80"/>
      <c r="I48" s="80"/>
      <c r="J48" s="80"/>
      <c r="K48" s="80"/>
      <c r="L48" s="81"/>
    </row>
    <row r="49" spans="1:12" x14ac:dyDescent="0.2">
      <c r="A49" s="29"/>
      <c r="B49" s="29"/>
      <c r="C49" s="29"/>
      <c r="D49" s="29"/>
      <c r="E49" s="29"/>
      <c r="G49" s="79"/>
      <c r="H49" s="80"/>
      <c r="I49" s="80"/>
      <c r="J49" s="80"/>
      <c r="K49" s="80"/>
      <c r="L49" s="81"/>
    </row>
    <row r="50" spans="1:12" x14ac:dyDescent="0.2">
      <c r="A50" s="29"/>
      <c r="B50" s="29"/>
      <c r="C50" s="29"/>
      <c r="D50" s="29"/>
      <c r="E50" s="29"/>
      <c r="G50" s="79"/>
      <c r="H50" s="80"/>
      <c r="I50" s="80"/>
      <c r="J50" s="80"/>
      <c r="K50" s="80"/>
      <c r="L50" s="81"/>
    </row>
    <row r="51" spans="1:12" x14ac:dyDescent="0.2">
      <c r="A51" s="29"/>
      <c r="B51" s="29"/>
      <c r="C51" s="29"/>
      <c r="D51" s="29"/>
      <c r="E51" s="29"/>
      <c r="G51" s="79"/>
      <c r="H51" s="80"/>
      <c r="I51" s="80"/>
      <c r="J51" s="80"/>
      <c r="K51" s="80"/>
      <c r="L51" s="81"/>
    </row>
    <row r="52" spans="1:12" x14ac:dyDescent="0.2">
      <c r="A52" s="29"/>
      <c r="B52" s="29"/>
      <c r="C52" s="29"/>
      <c r="D52" s="29"/>
      <c r="E52" s="29"/>
      <c r="G52" s="79"/>
      <c r="H52" s="80"/>
      <c r="I52" s="80"/>
      <c r="J52" s="80"/>
      <c r="K52" s="80"/>
      <c r="L52" s="81"/>
    </row>
    <row r="53" spans="1:12" x14ac:dyDescent="0.2">
      <c r="A53" s="29"/>
      <c r="B53" s="29"/>
      <c r="C53" s="29"/>
      <c r="D53" s="29"/>
      <c r="E53" s="29"/>
      <c r="G53" s="79"/>
      <c r="H53" s="80"/>
      <c r="I53" s="80"/>
      <c r="J53" s="80"/>
      <c r="K53" s="80"/>
      <c r="L53" s="81"/>
    </row>
    <row r="54" spans="1:12" x14ac:dyDescent="0.2">
      <c r="A54" s="29"/>
      <c r="B54" s="29"/>
      <c r="C54" s="29"/>
      <c r="D54" s="29"/>
      <c r="E54" s="29"/>
      <c r="G54" s="79"/>
      <c r="H54" s="80"/>
      <c r="I54" s="80"/>
      <c r="J54" s="80"/>
      <c r="K54" s="80"/>
      <c r="L54" s="81"/>
    </row>
    <row r="55" spans="1:12" x14ac:dyDescent="0.2">
      <c r="A55" s="29"/>
      <c r="B55" s="29"/>
      <c r="C55" s="29"/>
      <c r="D55" s="29"/>
      <c r="E55" s="29"/>
      <c r="G55" s="79"/>
      <c r="H55" s="80"/>
      <c r="I55" s="80"/>
      <c r="J55" s="80"/>
      <c r="K55" s="80"/>
      <c r="L55" s="81"/>
    </row>
    <row r="56" spans="1:12" x14ac:dyDescent="0.2">
      <c r="A56" s="29"/>
      <c r="B56" s="29"/>
      <c r="C56" s="29"/>
      <c r="D56" s="29"/>
      <c r="E56" s="29"/>
      <c r="G56" s="79"/>
      <c r="H56" s="80"/>
      <c r="I56" s="80"/>
      <c r="J56" s="80"/>
      <c r="K56" s="80"/>
      <c r="L56" s="81"/>
    </row>
    <row r="57" spans="1:12" x14ac:dyDescent="0.2">
      <c r="A57" s="29"/>
      <c r="B57" s="29"/>
      <c r="C57" s="29"/>
      <c r="D57" s="29"/>
      <c r="E57" s="29"/>
      <c r="G57" s="79"/>
      <c r="H57" s="80"/>
      <c r="I57" s="80"/>
      <c r="J57" s="80"/>
      <c r="K57" s="80"/>
      <c r="L57" s="81"/>
    </row>
    <row r="58" spans="1:12" x14ac:dyDescent="0.2">
      <c r="A58" s="29"/>
      <c r="B58" s="29"/>
      <c r="C58" s="29"/>
      <c r="D58" s="29"/>
      <c r="E58" s="29"/>
      <c r="G58" s="79"/>
      <c r="H58" s="80"/>
      <c r="I58" s="80"/>
      <c r="J58" s="80"/>
      <c r="K58" s="80"/>
      <c r="L58" s="81"/>
    </row>
    <row r="59" spans="1:12" x14ac:dyDescent="0.2">
      <c r="A59" s="29"/>
      <c r="B59" s="29"/>
      <c r="C59" s="29"/>
      <c r="D59" s="29"/>
      <c r="E59" s="29"/>
      <c r="G59" s="79"/>
      <c r="H59" s="80"/>
      <c r="I59" s="80"/>
      <c r="J59" s="80"/>
      <c r="K59" s="80"/>
      <c r="L59" s="81"/>
    </row>
    <row r="60" spans="1:12" x14ac:dyDescent="0.2">
      <c r="A60" s="29"/>
      <c r="B60" s="29"/>
      <c r="C60" s="29"/>
      <c r="D60" s="29"/>
      <c r="E60" s="29"/>
      <c r="G60" s="85"/>
      <c r="H60" s="86"/>
      <c r="I60" s="86"/>
      <c r="J60" s="86"/>
      <c r="K60" s="86"/>
      <c r="L60" s="87"/>
    </row>
  </sheetData>
  <sheetProtection algorithmName="SHA-512" hashValue="QSpieNv9dvvNobA82AL6IzTtDYo2ykEcq7fFtNJQVhBvGb4eGfyS2iVDizqm+Hz8FxeIiyg9qnsxQYl87PdXHg==" saltValue="Xm5+THXyEhpCJgkT9/uObg==" spinCount="100000" sheet="1" objects="1" scenarios="1"/>
  <mergeCells count="60">
    <mergeCell ref="G60:L60"/>
    <mergeCell ref="G49:L49"/>
    <mergeCell ref="G50:L50"/>
    <mergeCell ref="G51:L51"/>
    <mergeCell ref="G52:L52"/>
    <mergeCell ref="G53:L53"/>
    <mergeCell ref="G54:L54"/>
    <mergeCell ref="G55:L55"/>
    <mergeCell ref="G56:L56"/>
    <mergeCell ref="G57:L57"/>
    <mergeCell ref="G58:L58"/>
    <mergeCell ref="G59:L59"/>
    <mergeCell ref="G48:L48"/>
    <mergeCell ref="G37:L37"/>
    <mergeCell ref="G38:L38"/>
    <mergeCell ref="G39:L39"/>
    <mergeCell ref="G40:L40"/>
    <mergeCell ref="G41:L41"/>
    <mergeCell ref="G42:L42"/>
    <mergeCell ref="G43:L43"/>
    <mergeCell ref="G44:L44"/>
    <mergeCell ref="G45:L45"/>
    <mergeCell ref="G46:L46"/>
    <mergeCell ref="G47:L47"/>
    <mergeCell ref="G36:L36"/>
    <mergeCell ref="G25:L25"/>
    <mergeCell ref="G26:L26"/>
    <mergeCell ref="G27:L27"/>
    <mergeCell ref="G28:L28"/>
    <mergeCell ref="G29:L29"/>
    <mergeCell ref="G30:L30"/>
    <mergeCell ref="G31:L31"/>
    <mergeCell ref="G32:L32"/>
    <mergeCell ref="G33:L33"/>
    <mergeCell ref="G34:L34"/>
    <mergeCell ref="G35:L35"/>
    <mergeCell ref="G24:L24"/>
    <mergeCell ref="G13:L13"/>
    <mergeCell ref="G14:L14"/>
    <mergeCell ref="G15:L15"/>
    <mergeCell ref="G16:L16"/>
    <mergeCell ref="G17:L17"/>
    <mergeCell ref="G18:L18"/>
    <mergeCell ref="G19:L19"/>
    <mergeCell ref="G20:L20"/>
    <mergeCell ref="G21:L21"/>
    <mergeCell ref="G22:L22"/>
    <mergeCell ref="G23:L23"/>
    <mergeCell ref="G9:L9"/>
    <mergeCell ref="G10:L10"/>
    <mergeCell ref="G11:L11"/>
    <mergeCell ref="G12:L12"/>
    <mergeCell ref="A1:L1"/>
    <mergeCell ref="B3:C3"/>
    <mergeCell ref="G3:L3"/>
    <mergeCell ref="G4:L4"/>
    <mergeCell ref="G5:L5"/>
    <mergeCell ref="G6:L6"/>
    <mergeCell ref="G7:L7"/>
    <mergeCell ref="G8:L8"/>
  </mergeCells>
  <conditionalFormatting sqref="B3">
    <cfRule type="expression" dxfId="5" priority="3">
      <formula>#REF!="Manual"</formula>
    </cfRule>
  </conditionalFormatting>
  <conditionalFormatting sqref="E3 G3">
    <cfRule type="expression" dxfId="4"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D101"/>
  <sheetViews>
    <sheetView showGridLines="0" zoomScale="140" zoomScaleNormal="140" workbookViewId="0">
      <pane ySplit="2" topLeftCell="A3" activePane="bottomLeft" state="frozen"/>
      <selection activeCell="E25" sqref="E25"/>
      <selection pane="bottomLeft" activeCell="A3" sqref="A3"/>
    </sheetView>
  </sheetViews>
  <sheetFormatPr baseColWidth="10" defaultColWidth="8.83203125" defaultRowHeight="15" x14ac:dyDescent="0.2"/>
  <cols>
    <col min="1" max="1" width="56.6640625" customWidth="1"/>
    <col min="2" max="2" width="72.33203125" customWidth="1"/>
    <col min="3" max="3" width="65.5" customWidth="1"/>
    <col min="4" max="4" width="73" customWidth="1"/>
    <col min="5" max="5" width="57.33203125" customWidth="1"/>
    <col min="6" max="6" width="14.6640625" customWidth="1"/>
    <col min="7" max="7" width="12.33203125" customWidth="1"/>
    <col min="8" max="8" width="19.6640625" customWidth="1"/>
    <col min="14" max="14" width="13.5" customWidth="1"/>
    <col min="15" max="15" width="13.6640625" customWidth="1"/>
    <col min="16" max="16" width="24.33203125" customWidth="1"/>
    <col min="17" max="17" width="18" customWidth="1"/>
  </cols>
  <sheetData>
    <row r="1" spans="1:4" s="1" customFormat="1" x14ac:dyDescent="0.2"/>
    <row r="2" spans="1:4" x14ac:dyDescent="0.2">
      <c r="A2" s="10" t="s">
        <v>652</v>
      </c>
      <c r="B2" s="10" t="s">
        <v>653</v>
      </c>
      <c r="C2" s="11" t="s">
        <v>654</v>
      </c>
      <c r="D2" s="11" t="s">
        <v>655</v>
      </c>
    </row>
    <row r="3" spans="1:4" x14ac:dyDescent="0.2">
      <c r="A3" s="2"/>
      <c r="B3" s="2"/>
      <c r="C3" s="1" t="str">
        <f>IF(ISBLANK($A3),"",CLEAN(TRIM(SUBSTITUTE($A3," ","_"))))</f>
        <v/>
      </c>
      <c r="D3" s="1" t="str">
        <f>IF(ISBLANK($B3),"",TRIM(CLEAN(SUBSTITUTE($B3,"_"," "))))</f>
        <v/>
      </c>
    </row>
    <row r="4" spans="1:4" x14ac:dyDescent="0.2">
      <c r="A4" s="2"/>
      <c r="B4" s="2"/>
      <c r="C4" s="1" t="str">
        <f t="shared" ref="C4:C67" si="0">IF(ISBLANK($A4),"",CLEAN(TRIM(SUBSTITUTE($A4," ","_"))))</f>
        <v/>
      </c>
      <c r="D4" s="1" t="str">
        <f t="shared" ref="D4:D67" si="1">IF(ISBLANK($B4),"",TRIM(CLEAN(SUBSTITUTE($B4,"_"," "))))</f>
        <v/>
      </c>
    </row>
    <row r="5" spans="1:4" x14ac:dyDescent="0.2">
      <c r="A5" s="2"/>
      <c r="B5" s="2"/>
      <c r="C5" s="1" t="str">
        <f t="shared" si="0"/>
        <v/>
      </c>
      <c r="D5" s="1" t="str">
        <f t="shared" si="1"/>
        <v/>
      </c>
    </row>
    <row r="6" spans="1:4" x14ac:dyDescent="0.2">
      <c r="A6" s="2"/>
      <c r="B6" s="2"/>
      <c r="C6" s="1" t="str">
        <f t="shared" si="0"/>
        <v/>
      </c>
      <c r="D6" s="1" t="str">
        <f t="shared" si="1"/>
        <v/>
      </c>
    </row>
    <row r="7" spans="1:4" x14ac:dyDescent="0.2">
      <c r="A7" s="2"/>
      <c r="B7" s="2"/>
      <c r="C7" s="1" t="str">
        <f t="shared" si="0"/>
        <v/>
      </c>
      <c r="D7" s="1" t="str">
        <f t="shared" si="1"/>
        <v/>
      </c>
    </row>
    <row r="8" spans="1:4" x14ac:dyDescent="0.2">
      <c r="A8" s="2"/>
      <c r="B8" s="2"/>
      <c r="C8" s="1" t="str">
        <f t="shared" si="0"/>
        <v/>
      </c>
      <c r="D8" s="1" t="str">
        <f t="shared" si="1"/>
        <v/>
      </c>
    </row>
    <row r="9" spans="1:4" x14ac:dyDescent="0.2">
      <c r="A9" s="2"/>
      <c r="B9" s="2"/>
      <c r="C9" s="1" t="str">
        <f t="shared" si="0"/>
        <v/>
      </c>
      <c r="D9" s="1" t="str">
        <f t="shared" si="1"/>
        <v/>
      </c>
    </row>
    <row r="10" spans="1:4" x14ac:dyDescent="0.2">
      <c r="A10" s="2"/>
      <c r="B10" s="2"/>
      <c r="C10" s="1" t="str">
        <f t="shared" si="0"/>
        <v/>
      </c>
      <c r="D10" s="1" t="str">
        <f t="shared" si="1"/>
        <v/>
      </c>
    </row>
    <row r="11" spans="1:4" x14ac:dyDescent="0.2">
      <c r="A11" s="2"/>
      <c r="B11" s="2"/>
      <c r="C11" s="1" t="str">
        <f t="shared" si="0"/>
        <v/>
      </c>
      <c r="D11" s="1" t="str">
        <f t="shared" si="1"/>
        <v/>
      </c>
    </row>
    <row r="12" spans="1:4" x14ac:dyDescent="0.2">
      <c r="A12" s="2"/>
      <c r="B12" s="2"/>
      <c r="C12" s="1" t="str">
        <f t="shared" si="0"/>
        <v/>
      </c>
      <c r="D12" s="1" t="str">
        <f t="shared" si="1"/>
        <v/>
      </c>
    </row>
    <row r="13" spans="1:4" x14ac:dyDescent="0.2">
      <c r="A13" s="2"/>
      <c r="B13" s="2"/>
      <c r="C13" s="1" t="str">
        <f t="shared" si="0"/>
        <v/>
      </c>
      <c r="D13" s="1" t="str">
        <f t="shared" si="1"/>
        <v/>
      </c>
    </row>
    <row r="14" spans="1:4" x14ac:dyDescent="0.2">
      <c r="A14" s="2"/>
      <c r="B14" s="2"/>
      <c r="C14" s="1" t="str">
        <f t="shared" si="0"/>
        <v/>
      </c>
      <c r="D14" s="1" t="str">
        <f t="shared" si="1"/>
        <v/>
      </c>
    </row>
    <row r="15" spans="1:4" x14ac:dyDescent="0.2">
      <c r="A15" s="2"/>
      <c r="B15" s="2"/>
      <c r="C15" s="1" t="str">
        <f t="shared" si="0"/>
        <v/>
      </c>
      <c r="D15" s="1" t="str">
        <f t="shared" si="1"/>
        <v/>
      </c>
    </row>
    <row r="16" spans="1:4" x14ac:dyDescent="0.2">
      <c r="A16" s="2"/>
      <c r="B16" s="2"/>
      <c r="C16" s="1" t="str">
        <f t="shared" si="0"/>
        <v/>
      </c>
      <c r="D16" s="1" t="str">
        <f t="shared" si="1"/>
        <v/>
      </c>
    </row>
    <row r="17" spans="1:4" x14ac:dyDescent="0.2">
      <c r="A17" s="2"/>
      <c r="B17" s="2"/>
      <c r="C17" s="1" t="str">
        <f t="shared" si="0"/>
        <v/>
      </c>
      <c r="D17" s="1" t="str">
        <f t="shared" si="1"/>
        <v/>
      </c>
    </row>
    <row r="18" spans="1:4" x14ac:dyDescent="0.2">
      <c r="A18" s="2"/>
      <c r="B18" s="2"/>
      <c r="C18" s="1" t="str">
        <f t="shared" si="0"/>
        <v/>
      </c>
      <c r="D18" s="1" t="str">
        <f t="shared" si="1"/>
        <v/>
      </c>
    </row>
    <row r="19" spans="1:4" x14ac:dyDescent="0.2">
      <c r="A19" s="2"/>
      <c r="B19" s="2"/>
      <c r="C19" s="1" t="str">
        <f t="shared" si="0"/>
        <v/>
      </c>
      <c r="D19" s="1" t="str">
        <f t="shared" si="1"/>
        <v/>
      </c>
    </row>
    <row r="20" spans="1:4" x14ac:dyDescent="0.2">
      <c r="A20" s="2"/>
      <c r="B20" s="2"/>
      <c r="C20" s="1" t="str">
        <f t="shared" si="0"/>
        <v/>
      </c>
      <c r="D20" s="1" t="str">
        <f t="shared" si="1"/>
        <v/>
      </c>
    </row>
    <row r="21" spans="1:4" x14ac:dyDescent="0.2">
      <c r="A21" s="2"/>
      <c r="B21" s="2"/>
      <c r="C21" s="1" t="str">
        <f t="shared" si="0"/>
        <v/>
      </c>
      <c r="D21" s="1" t="str">
        <f t="shared" si="1"/>
        <v/>
      </c>
    </row>
    <row r="22" spans="1:4" x14ac:dyDescent="0.2">
      <c r="A22" s="2"/>
      <c r="B22" s="2"/>
      <c r="C22" s="1" t="str">
        <f t="shared" si="0"/>
        <v/>
      </c>
      <c r="D22" s="1" t="str">
        <f t="shared" si="1"/>
        <v/>
      </c>
    </row>
    <row r="23" spans="1:4" x14ac:dyDescent="0.2">
      <c r="A23" s="2"/>
      <c r="B23" s="2"/>
      <c r="C23" s="1" t="str">
        <f t="shared" si="0"/>
        <v/>
      </c>
      <c r="D23" s="1" t="str">
        <f t="shared" si="1"/>
        <v/>
      </c>
    </row>
    <row r="24" spans="1:4" x14ac:dyDescent="0.2">
      <c r="A24" s="2"/>
      <c r="B24" s="2"/>
      <c r="C24" s="1" t="str">
        <f t="shared" si="0"/>
        <v/>
      </c>
      <c r="D24" s="1" t="str">
        <f t="shared" si="1"/>
        <v/>
      </c>
    </row>
    <row r="25" spans="1:4" x14ac:dyDescent="0.2">
      <c r="A25" s="2"/>
      <c r="B25" s="2"/>
      <c r="C25" s="1" t="str">
        <f t="shared" si="0"/>
        <v/>
      </c>
      <c r="D25" s="1" t="str">
        <f t="shared" si="1"/>
        <v/>
      </c>
    </row>
    <row r="26" spans="1:4" x14ac:dyDescent="0.2">
      <c r="A26" s="2"/>
      <c r="B26" s="2"/>
      <c r="C26" s="1" t="str">
        <f t="shared" si="0"/>
        <v/>
      </c>
      <c r="D26" s="1" t="str">
        <f t="shared" si="1"/>
        <v/>
      </c>
    </row>
    <row r="27" spans="1:4" x14ac:dyDescent="0.2">
      <c r="A27" s="2"/>
      <c r="B27" s="2"/>
      <c r="C27" s="1" t="str">
        <f t="shared" si="0"/>
        <v/>
      </c>
      <c r="D27" s="1" t="str">
        <f t="shared" si="1"/>
        <v/>
      </c>
    </row>
    <row r="28" spans="1:4" x14ac:dyDescent="0.2">
      <c r="A28" s="2"/>
      <c r="B28" s="2"/>
      <c r="C28" s="1" t="str">
        <f t="shared" si="0"/>
        <v/>
      </c>
      <c r="D28" s="1" t="str">
        <f t="shared" si="1"/>
        <v/>
      </c>
    </row>
    <row r="29" spans="1:4" x14ac:dyDescent="0.2">
      <c r="A29" s="2"/>
      <c r="B29" s="2"/>
      <c r="C29" s="1" t="str">
        <f t="shared" si="0"/>
        <v/>
      </c>
      <c r="D29" s="1" t="str">
        <f t="shared" si="1"/>
        <v/>
      </c>
    </row>
    <row r="30" spans="1:4" x14ac:dyDescent="0.2">
      <c r="A30" s="2"/>
      <c r="B30" s="2"/>
      <c r="C30" s="1" t="str">
        <f t="shared" si="0"/>
        <v/>
      </c>
      <c r="D30" s="1" t="str">
        <f t="shared" si="1"/>
        <v/>
      </c>
    </row>
    <row r="31" spans="1:4" x14ac:dyDescent="0.2">
      <c r="A31" s="2"/>
      <c r="B31" s="2"/>
      <c r="C31" s="1" t="str">
        <f t="shared" si="0"/>
        <v/>
      </c>
      <c r="D31" s="1" t="str">
        <f t="shared" si="1"/>
        <v/>
      </c>
    </row>
    <row r="32" spans="1:4" x14ac:dyDescent="0.2">
      <c r="A32" s="2"/>
      <c r="B32" s="2"/>
      <c r="C32" s="1" t="str">
        <f t="shared" si="0"/>
        <v/>
      </c>
      <c r="D32" s="1" t="str">
        <f t="shared" si="1"/>
        <v/>
      </c>
    </row>
    <row r="33" spans="1:4" x14ac:dyDescent="0.2">
      <c r="A33" s="2"/>
      <c r="B33" s="2"/>
      <c r="C33" s="1" t="str">
        <f t="shared" si="0"/>
        <v/>
      </c>
      <c r="D33" s="1" t="str">
        <f t="shared" si="1"/>
        <v/>
      </c>
    </row>
    <row r="34" spans="1:4" x14ac:dyDescent="0.2">
      <c r="A34" s="2"/>
      <c r="B34" s="2"/>
      <c r="C34" s="1" t="str">
        <f t="shared" si="0"/>
        <v/>
      </c>
      <c r="D34" s="1" t="str">
        <f t="shared" si="1"/>
        <v/>
      </c>
    </row>
    <row r="35" spans="1:4" x14ac:dyDescent="0.2">
      <c r="A35" s="2"/>
      <c r="B35" s="2"/>
      <c r="C35" s="1" t="str">
        <f t="shared" si="0"/>
        <v/>
      </c>
      <c r="D35" s="1" t="str">
        <f t="shared" si="1"/>
        <v/>
      </c>
    </row>
    <row r="36" spans="1:4" x14ac:dyDescent="0.2">
      <c r="A36" s="2"/>
      <c r="B36" s="2"/>
      <c r="C36" s="1" t="str">
        <f t="shared" si="0"/>
        <v/>
      </c>
      <c r="D36" s="1" t="str">
        <f t="shared" si="1"/>
        <v/>
      </c>
    </row>
    <row r="37" spans="1:4" x14ac:dyDescent="0.2">
      <c r="A37" s="2"/>
      <c r="B37" s="2"/>
      <c r="C37" s="1" t="str">
        <f t="shared" si="0"/>
        <v/>
      </c>
      <c r="D37" s="1" t="str">
        <f t="shared" si="1"/>
        <v/>
      </c>
    </row>
    <row r="38" spans="1:4" x14ac:dyDescent="0.2">
      <c r="A38" s="2"/>
      <c r="B38" s="2"/>
      <c r="C38" s="1" t="str">
        <f t="shared" si="0"/>
        <v/>
      </c>
      <c r="D38" s="1" t="str">
        <f t="shared" si="1"/>
        <v/>
      </c>
    </row>
    <row r="39" spans="1:4" x14ac:dyDescent="0.2">
      <c r="A39" s="2"/>
      <c r="B39" s="2"/>
      <c r="C39" s="1" t="str">
        <f t="shared" si="0"/>
        <v/>
      </c>
      <c r="D39" s="1" t="str">
        <f t="shared" si="1"/>
        <v/>
      </c>
    </row>
    <row r="40" spans="1:4" x14ac:dyDescent="0.2">
      <c r="A40" s="2"/>
      <c r="B40" s="2"/>
      <c r="C40" s="1" t="str">
        <f t="shared" si="0"/>
        <v/>
      </c>
      <c r="D40" s="1" t="str">
        <f t="shared" si="1"/>
        <v/>
      </c>
    </row>
    <row r="41" spans="1:4" x14ac:dyDescent="0.2">
      <c r="A41" s="2"/>
      <c r="B41" s="2"/>
      <c r="C41" s="1" t="str">
        <f t="shared" si="0"/>
        <v/>
      </c>
      <c r="D41" s="1" t="str">
        <f t="shared" si="1"/>
        <v/>
      </c>
    </row>
    <row r="42" spans="1:4" x14ac:dyDescent="0.2">
      <c r="A42" s="2"/>
      <c r="B42" s="2"/>
      <c r="C42" s="1" t="str">
        <f t="shared" si="0"/>
        <v/>
      </c>
      <c r="D42" s="1" t="str">
        <f t="shared" si="1"/>
        <v/>
      </c>
    </row>
    <row r="43" spans="1:4" x14ac:dyDescent="0.2">
      <c r="A43" s="2"/>
      <c r="B43" s="2"/>
      <c r="C43" s="1" t="str">
        <f t="shared" si="0"/>
        <v/>
      </c>
      <c r="D43" s="1" t="str">
        <f t="shared" si="1"/>
        <v/>
      </c>
    </row>
    <row r="44" spans="1:4" x14ac:dyDescent="0.2">
      <c r="A44" s="2"/>
      <c r="B44" s="2"/>
      <c r="C44" s="1" t="str">
        <f t="shared" si="0"/>
        <v/>
      </c>
      <c r="D44" s="1" t="str">
        <f t="shared" si="1"/>
        <v/>
      </c>
    </row>
    <row r="45" spans="1:4" x14ac:dyDescent="0.2">
      <c r="A45" s="2"/>
      <c r="B45" s="2"/>
      <c r="C45" s="1" t="str">
        <f t="shared" si="0"/>
        <v/>
      </c>
      <c r="D45" s="1" t="str">
        <f t="shared" si="1"/>
        <v/>
      </c>
    </row>
    <row r="46" spans="1:4" x14ac:dyDescent="0.2">
      <c r="A46" s="2"/>
      <c r="B46" s="2"/>
      <c r="C46" s="1" t="str">
        <f t="shared" si="0"/>
        <v/>
      </c>
      <c r="D46" s="1" t="str">
        <f t="shared" si="1"/>
        <v/>
      </c>
    </row>
    <row r="47" spans="1:4" x14ac:dyDescent="0.2">
      <c r="A47" s="2"/>
      <c r="B47" s="2"/>
      <c r="C47" s="1" t="str">
        <f t="shared" si="0"/>
        <v/>
      </c>
      <c r="D47" s="1" t="str">
        <f t="shared" si="1"/>
        <v/>
      </c>
    </row>
    <row r="48" spans="1:4" x14ac:dyDescent="0.2">
      <c r="A48" s="2"/>
      <c r="B48" s="2"/>
      <c r="C48" s="1" t="str">
        <f t="shared" si="0"/>
        <v/>
      </c>
      <c r="D48" s="1" t="str">
        <f t="shared" si="1"/>
        <v/>
      </c>
    </row>
    <row r="49" spans="1:4" x14ac:dyDescent="0.2">
      <c r="A49" s="2"/>
      <c r="B49" s="2"/>
      <c r="C49" s="1" t="str">
        <f t="shared" si="0"/>
        <v/>
      </c>
      <c r="D49" s="1" t="str">
        <f t="shared" si="1"/>
        <v/>
      </c>
    </row>
    <row r="50" spans="1:4" x14ac:dyDescent="0.2">
      <c r="A50" s="2"/>
      <c r="B50" s="2"/>
      <c r="C50" s="1" t="str">
        <f t="shared" si="0"/>
        <v/>
      </c>
      <c r="D50" s="1" t="str">
        <f t="shared" si="1"/>
        <v/>
      </c>
    </row>
    <row r="51" spans="1:4" x14ac:dyDescent="0.2">
      <c r="A51" s="2"/>
      <c r="B51" s="2"/>
      <c r="C51" s="1" t="str">
        <f t="shared" si="0"/>
        <v/>
      </c>
      <c r="D51" s="1" t="str">
        <f t="shared" si="1"/>
        <v/>
      </c>
    </row>
    <row r="52" spans="1:4" x14ac:dyDescent="0.2">
      <c r="A52" s="2"/>
      <c r="B52" s="2"/>
      <c r="C52" s="1" t="str">
        <f t="shared" si="0"/>
        <v/>
      </c>
      <c r="D52" s="1" t="str">
        <f t="shared" si="1"/>
        <v/>
      </c>
    </row>
    <row r="53" spans="1:4" x14ac:dyDescent="0.2">
      <c r="A53" s="2"/>
      <c r="B53" s="2"/>
      <c r="C53" s="1" t="str">
        <f t="shared" si="0"/>
        <v/>
      </c>
      <c r="D53" s="1" t="str">
        <f t="shared" si="1"/>
        <v/>
      </c>
    </row>
    <row r="54" spans="1:4" x14ac:dyDescent="0.2">
      <c r="A54" s="2"/>
      <c r="B54" s="2"/>
      <c r="C54" s="1" t="str">
        <f t="shared" si="0"/>
        <v/>
      </c>
      <c r="D54" s="1" t="str">
        <f t="shared" si="1"/>
        <v/>
      </c>
    </row>
    <row r="55" spans="1:4" x14ac:dyDescent="0.2">
      <c r="A55" s="2"/>
      <c r="B55" s="2"/>
      <c r="C55" s="1" t="str">
        <f t="shared" si="0"/>
        <v/>
      </c>
      <c r="D55" s="1" t="str">
        <f t="shared" si="1"/>
        <v/>
      </c>
    </row>
    <row r="56" spans="1:4" x14ac:dyDescent="0.2">
      <c r="A56" s="2"/>
      <c r="B56" s="2"/>
      <c r="C56" s="1" t="str">
        <f t="shared" si="0"/>
        <v/>
      </c>
      <c r="D56" s="1" t="str">
        <f t="shared" si="1"/>
        <v/>
      </c>
    </row>
    <row r="57" spans="1:4" x14ac:dyDescent="0.2">
      <c r="A57" s="2"/>
      <c r="B57" s="2"/>
      <c r="C57" s="1" t="str">
        <f t="shared" si="0"/>
        <v/>
      </c>
      <c r="D57" s="1" t="str">
        <f t="shared" si="1"/>
        <v/>
      </c>
    </row>
    <row r="58" spans="1:4" x14ac:dyDescent="0.2">
      <c r="A58" s="2"/>
      <c r="B58" s="2"/>
      <c r="C58" s="1" t="str">
        <f t="shared" si="0"/>
        <v/>
      </c>
      <c r="D58" s="1" t="str">
        <f t="shared" si="1"/>
        <v/>
      </c>
    </row>
    <row r="59" spans="1:4" x14ac:dyDescent="0.2">
      <c r="A59" s="2"/>
      <c r="B59" s="2"/>
      <c r="C59" s="1" t="str">
        <f t="shared" si="0"/>
        <v/>
      </c>
      <c r="D59" s="1" t="str">
        <f t="shared" si="1"/>
        <v/>
      </c>
    </row>
    <row r="60" spans="1:4" x14ac:dyDescent="0.2">
      <c r="A60" s="2"/>
      <c r="B60" s="2"/>
      <c r="C60" s="1" t="str">
        <f t="shared" si="0"/>
        <v/>
      </c>
      <c r="D60" s="1" t="str">
        <f t="shared" si="1"/>
        <v/>
      </c>
    </row>
    <row r="61" spans="1:4" x14ac:dyDescent="0.2">
      <c r="A61" s="2"/>
      <c r="B61" s="2"/>
      <c r="C61" s="1" t="str">
        <f t="shared" si="0"/>
        <v/>
      </c>
      <c r="D61" s="1" t="str">
        <f t="shared" si="1"/>
        <v/>
      </c>
    </row>
    <row r="62" spans="1:4" x14ac:dyDescent="0.2">
      <c r="A62" s="2"/>
      <c r="B62" s="2"/>
      <c r="C62" s="1" t="str">
        <f t="shared" si="0"/>
        <v/>
      </c>
      <c r="D62" s="1" t="str">
        <f t="shared" si="1"/>
        <v/>
      </c>
    </row>
    <row r="63" spans="1:4" x14ac:dyDescent="0.2">
      <c r="A63" s="2"/>
      <c r="B63" s="2"/>
      <c r="C63" s="1" t="str">
        <f t="shared" si="0"/>
        <v/>
      </c>
      <c r="D63" s="1" t="str">
        <f t="shared" si="1"/>
        <v/>
      </c>
    </row>
    <row r="64" spans="1:4" x14ac:dyDescent="0.2">
      <c r="A64" s="2"/>
      <c r="B64" s="2"/>
      <c r="C64" s="1" t="str">
        <f t="shared" si="0"/>
        <v/>
      </c>
      <c r="D64" s="1" t="str">
        <f t="shared" si="1"/>
        <v/>
      </c>
    </row>
    <row r="65" spans="1:4" x14ac:dyDescent="0.2">
      <c r="A65" s="2"/>
      <c r="B65" s="2"/>
      <c r="C65" s="1" t="str">
        <f t="shared" si="0"/>
        <v/>
      </c>
      <c r="D65" s="1" t="str">
        <f t="shared" si="1"/>
        <v/>
      </c>
    </row>
    <row r="66" spans="1:4" x14ac:dyDescent="0.2">
      <c r="A66" s="2"/>
      <c r="B66" s="2"/>
      <c r="C66" s="1" t="str">
        <f t="shared" si="0"/>
        <v/>
      </c>
      <c r="D66" s="1" t="str">
        <f t="shared" si="1"/>
        <v/>
      </c>
    </row>
    <row r="67" spans="1:4" x14ac:dyDescent="0.2">
      <c r="A67" s="2"/>
      <c r="B67" s="2"/>
      <c r="C67" s="1" t="str">
        <f t="shared" si="0"/>
        <v/>
      </c>
      <c r="D67" s="1" t="str">
        <f t="shared" si="1"/>
        <v/>
      </c>
    </row>
    <row r="68" spans="1:4" x14ac:dyDescent="0.2">
      <c r="A68" s="2"/>
      <c r="B68" s="2"/>
      <c r="C68" s="1" t="str">
        <f t="shared" ref="C68:C101" si="2">IF(ISBLANK($A68),"",CLEAN(TRIM(SUBSTITUTE($A68," ","_"))))</f>
        <v/>
      </c>
      <c r="D68" s="1" t="str">
        <f t="shared" ref="D68:D101" si="3">IF(ISBLANK($B68),"",TRIM(CLEAN(SUBSTITUTE($B68,"_"," "))))</f>
        <v/>
      </c>
    </row>
    <row r="69" spans="1:4" x14ac:dyDescent="0.2">
      <c r="A69" s="2"/>
      <c r="B69" s="2"/>
      <c r="C69" s="1" t="str">
        <f t="shared" si="2"/>
        <v/>
      </c>
      <c r="D69" s="1" t="str">
        <f t="shared" si="3"/>
        <v/>
      </c>
    </row>
    <row r="70" spans="1:4" x14ac:dyDescent="0.2">
      <c r="A70" s="2"/>
      <c r="B70" s="2"/>
      <c r="C70" s="1" t="str">
        <f t="shared" si="2"/>
        <v/>
      </c>
      <c r="D70" s="1" t="str">
        <f t="shared" si="3"/>
        <v/>
      </c>
    </row>
    <row r="71" spans="1:4" x14ac:dyDescent="0.2">
      <c r="A71" s="2"/>
      <c r="B71" s="2"/>
      <c r="C71" s="1" t="str">
        <f t="shared" si="2"/>
        <v/>
      </c>
      <c r="D71" s="1" t="str">
        <f t="shared" si="3"/>
        <v/>
      </c>
    </row>
    <row r="72" spans="1:4" x14ac:dyDescent="0.2">
      <c r="A72" s="2"/>
      <c r="B72" s="2"/>
      <c r="C72" s="1" t="str">
        <f t="shared" si="2"/>
        <v/>
      </c>
      <c r="D72" s="1" t="str">
        <f t="shared" si="3"/>
        <v/>
      </c>
    </row>
    <row r="73" spans="1:4" x14ac:dyDescent="0.2">
      <c r="A73" s="2"/>
      <c r="B73" s="2"/>
      <c r="C73" s="1" t="str">
        <f t="shared" si="2"/>
        <v/>
      </c>
      <c r="D73" s="1" t="str">
        <f t="shared" si="3"/>
        <v/>
      </c>
    </row>
    <row r="74" spans="1:4" x14ac:dyDescent="0.2">
      <c r="A74" s="2"/>
      <c r="B74" s="2"/>
      <c r="C74" s="1" t="str">
        <f t="shared" si="2"/>
        <v/>
      </c>
      <c r="D74" s="1" t="str">
        <f t="shared" si="3"/>
        <v/>
      </c>
    </row>
    <row r="75" spans="1:4" x14ac:dyDescent="0.2">
      <c r="A75" s="2"/>
      <c r="B75" s="2"/>
      <c r="C75" s="1" t="str">
        <f t="shared" si="2"/>
        <v/>
      </c>
      <c r="D75" s="1" t="str">
        <f t="shared" si="3"/>
        <v/>
      </c>
    </row>
    <row r="76" spans="1:4" x14ac:dyDescent="0.2">
      <c r="A76" s="2"/>
      <c r="B76" s="2"/>
      <c r="C76" s="1" t="str">
        <f t="shared" si="2"/>
        <v/>
      </c>
      <c r="D76" s="1" t="str">
        <f t="shared" si="3"/>
        <v/>
      </c>
    </row>
    <row r="77" spans="1:4" x14ac:dyDescent="0.2">
      <c r="A77" s="2"/>
      <c r="B77" s="2"/>
      <c r="C77" s="1" t="str">
        <f t="shared" si="2"/>
        <v/>
      </c>
      <c r="D77" s="1" t="str">
        <f t="shared" si="3"/>
        <v/>
      </c>
    </row>
    <row r="78" spans="1:4" x14ac:dyDescent="0.2">
      <c r="A78" s="2"/>
      <c r="B78" s="2"/>
      <c r="C78" s="1" t="str">
        <f t="shared" si="2"/>
        <v/>
      </c>
      <c r="D78" s="1" t="str">
        <f t="shared" si="3"/>
        <v/>
      </c>
    </row>
    <row r="79" spans="1:4" x14ac:dyDescent="0.2">
      <c r="A79" s="2"/>
      <c r="B79" s="2"/>
      <c r="C79" s="1" t="str">
        <f t="shared" si="2"/>
        <v/>
      </c>
      <c r="D79" s="1" t="str">
        <f t="shared" si="3"/>
        <v/>
      </c>
    </row>
    <row r="80" spans="1:4" x14ac:dyDescent="0.2">
      <c r="A80" s="2"/>
      <c r="B80" s="2"/>
      <c r="C80" s="1" t="str">
        <f t="shared" si="2"/>
        <v/>
      </c>
      <c r="D80" s="1" t="str">
        <f t="shared" si="3"/>
        <v/>
      </c>
    </row>
    <row r="81" spans="1:4" x14ac:dyDescent="0.2">
      <c r="A81" s="2"/>
      <c r="B81" s="2"/>
      <c r="C81" s="1" t="str">
        <f t="shared" si="2"/>
        <v/>
      </c>
      <c r="D81" s="1" t="str">
        <f t="shared" si="3"/>
        <v/>
      </c>
    </row>
    <row r="82" spans="1:4" x14ac:dyDescent="0.2">
      <c r="A82" s="2"/>
      <c r="B82" s="2"/>
      <c r="C82" s="1" t="str">
        <f t="shared" si="2"/>
        <v/>
      </c>
      <c r="D82" s="1" t="str">
        <f t="shared" si="3"/>
        <v/>
      </c>
    </row>
    <row r="83" spans="1:4" x14ac:dyDescent="0.2">
      <c r="A83" s="2"/>
      <c r="B83" s="2"/>
      <c r="C83" s="1" t="str">
        <f t="shared" si="2"/>
        <v/>
      </c>
      <c r="D83" s="1" t="str">
        <f t="shared" si="3"/>
        <v/>
      </c>
    </row>
    <row r="84" spans="1:4" x14ac:dyDescent="0.2">
      <c r="A84" s="2"/>
      <c r="B84" s="2"/>
      <c r="C84" s="1" t="str">
        <f t="shared" si="2"/>
        <v/>
      </c>
      <c r="D84" s="1" t="str">
        <f t="shared" si="3"/>
        <v/>
      </c>
    </row>
    <row r="85" spans="1:4" x14ac:dyDescent="0.2">
      <c r="A85" s="2"/>
      <c r="B85" s="2"/>
      <c r="C85" s="1" t="str">
        <f t="shared" si="2"/>
        <v/>
      </c>
      <c r="D85" s="1" t="str">
        <f t="shared" si="3"/>
        <v/>
      </c>
    </row>
    <row r="86" spans="1:4" x14ac:dyDescent="0.2">
      <c r="A86" s="2"/>
      <c r="B86" s="2"/>
      <c r="C86" s="1" t="str">
        <f t="shared" si="2"/>
        <v/>
      </c>
      <c r="D86" s="1" t="str">
        <f t="shared" si="3"/>
        <v/>
      </c>
    </row>
    <row r="87" spans="1:4" x14ac:dyDescent="0.2">
      <c r="A87" s="2"/>
      <c r="B87" s="2"/>
      <c r="C87" s="1" t="str">
        <f t="shared" si="2"/>
        <v/>
      </c>
      <c r="D87" s="1" t="str">
        <f t="shared" si="3"/>
        <v/>
      </c>
    </row>
    <row r="88" spans="1:4" x14ac:dyDescent="0.2">
      <c r="A88" s="2"/>
      <c r="B88" s="2"/>
      <c r="C88" s="1" t="str">
        <f t="shared" si="2"/>
        <v/>
      </c>
      <c r="D88" s="1" t="str">
        <f t="shared" si="3"/>
        <v/>
      </c>
    </row>
    <row r="89" spans="1:4" x14ac:dyDescent="0.2">
      <c r="A89" s="2"/>
      <c r="B89" s="2"/>
      <c r="C89" s="1" t="str">
        <f t="shared" si="2"/>
        <v/>
      </c>
      <c r="D89" s="1" t="str">
        <f t="shared" si="3"/>
        <v/>
      </c>
    </row>
    <row r="90" spans="1:4" x14ac:dyDescent="0.2">
      <c r="A90" s="2"/>
      <c r="B90" s="2"/>
      <c r="C90" s="1" t="str">
        <f t="shared" si="2"/>
        <v/>
      </c>
      <c r="D90" s="1" t="str">
        <f t="shared" si="3"/>
        <v/>
      </c>
    </row>
    <row r="91" spans="1:4" x14ac:dyDescent="0.2">
      <c r="A91" s="2"/>
      <c r="B91" s="2"/>
      <c r="C91" s="1" t="str">
        <f t="shared" si="2"/>
        <v/>
      </c>
      <c r="D91" s="1" t="str">
        <f t="shared" si="3"/>
        <v/>
      </c>
    </row>
    <row r="92" spans="1:4" x14ac:dyDescent="0.2">
      <c r="A92" s="2"/>
      <c r="B92" s="2"/>
      <c r="C92" s="1" t="str">
        <f t="shared" si="2"/>
        <v/>
      </c>
      <c r="D92" s="1" t="str">
        <f t="shared" si="3"/>
        <v/>
      </c>
    </row>
    <row r="93" spans="1:4" x14ac:dyDescent="0.2">
      <c r="A93" s="2"/>
      <c r="B93" s="2"/>
      <c r="C93" s="1" t="str">
        <f t="shared" si="2"/>
        <v/>
      </c>
      <c r="D93" s="1" t="str">
        <f t="shared" si="3"/>
        <v/>
      </c>
    </row>
    <row r="94" spans="1:4" x14ac:dyDescent="0.2">
      <c r="A94" s="2"/>
      <c r="B94" s="2"/>
      <c r="C94" s="1" t="str">
        <f t="shared" si="2"/>
        <v/>
      </c>
      <c r="D94" s="1" t="str">
        <f t="shared" si="3"/>
        <v/>
      </c>
    </row>
    <row r="95" spans="1:4" x14ac:dyDescent="0.2">
      <c r="A95" s="2"/>
      <c r="B95" s="2"/>
      <c r="C95" s="1" t="str">
        <f t="shared" si="2"/>
        <v/>
      </c>
      <c r="D95" s="1" t="str">
        <f t="shared" si="3"/>
        <v/>
      </c>
    </row>
    <row r="96" spans="1:4" x14ac:dyDescent="0.2">
      <c r="A96" s="2"/>
      <c r="B96" s="2"/>
      <c r="C96" s="1" t="str">
        <f t="shared" si="2"/>
        <v/>
      </c>
      <c r="D96" s="1" t="str">
        <f t="shared" si="3"/>
        <v/>
      </c>
    </row>
    <row r="97" spans="1:4" x14ac:dyDescent="0.2">
      <c r="A97" s="2"/>
      <c r="B97" s="2"/>
      <c r="C97" s="1" t="str">
        <f t="shared" si="2"/>
        <v/>
      </c>
      <c r="D97" s="1" t="str">
        <f t="shared" si="3"/>
        <v/>
      </c>
    </row>
    <row r="98" spans="1:4" x14ac:dyDescent="0.2">
      <c r="A98" s="2"/>
      <c r="B98" s="2"/>
      <c r="C98" s="1" t="str">
        <f t="shared" si="2"/>
        <v/>
      </c>
      <c r="D98" s="1" t="str">
        <f t="shared" si="3"/>
        <v/>
      </c>
    </row>
    <row r="99" spans="1:4" x14ac:dyDescent="0.2">
      <c r="A99" s="2"/>
      <c r="B99" s="2"/>
      <c r="C99" s="1" t="str">
        <f t="shared" si="2"/>
        <v/>
      </c>
      <c r="D99" s="1" t="str">
        <f t="shared" si="3"/>
        <v/>
      </c>
    </row>
    <row r="100" spans="1:4" x14ac:dyDescent="0.2">
      <c r="A100" s="2"/>
      <c r="B100" s="2"/>
      <c r="C100" s="1" t="str">
        <f t="shared" si="2"/>
        <v/>
      </c>
      <c r="D100" s="1" t="str">
        <f t="shared" si="3"/>
        <v/>
      </c>
    </row>
    <row r="101" spans="1:4" x14ac:dyDescent="0.2">
      <c r="A101" s="2"/>
      <c r="B101" s="2"/>
      <c r="C101" s="1" t="str">
        <f t="shared" si="2"/>
        <v/>
      </c>
      <c r="D101" s="1" t="str">
        <f t="shared" si="3"/>
        <v/>
      </c>
    </row>
  </sheetData>
  <sheetProtection algorithmName="SHA-512" hashValue="pKIEbNNM4PXblJuoYlVRb4YdjRIDlBU7Q0eluIHZx7bsgySR5Jr09zqWK075gcEVaaUg8gcGu5O897CgErtHgA==" saltValue="41ngnjZBJ9iRqtYRW4VOoQ==" spinCount="100000" sheet="1" objects="1" scenarios="1" sort="0" autoFilter="0"/>
  <autoFilter ref="A2:D101" xr:uid="{1CD4ED11-E06B-450C-8747-57E5A7F927E6}"/>
  <dataConsolidate/>
  <conditionalFormatting sqref="A3:D101">
    <cfRule type="expression" dxfId="3" priority="2">
      <formula>OR(COUNTA($A2),COUNTA($B2))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02067b678768613d597948a0f61cf6f4">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aaa13d75c74f4293bc77c2e6405c671f"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48C4D4-9072-4358-AB92-9279FD91DDBC}">
  <ds:schemaRefs>
    <ds:schemaRef ds:uri="http://schemas.microsoft.com/sharepoint/v3/contenttype/forms"/>
  </ds:schemaRefs>
</ds:datastoreItem>
</file>

<file path=customXml/itemProps2.xml><?xml version="1.0" encoding="utf-8"?>
<ds:datastoreItem xmlns:ds="http://schemas.openxmlformats.org/officeDocument/2006/customXml" ds:itemID="{910E1E48-7BC3-45DE-AF3F-B79ED11F5061}">
  <ds:schemaRefs>
    <ds:schemaRef ds:uri="http://purl.org/dc/dcmitype/"/>
    <ds:schemaRef ds:uri="http://schemas.microsoft.com/office/2006/documentManagement/types"/>
    <ds:schemaRef ds:uri="http://schemas.microsoft.com/office/infopath/2007/PartnerControls"/>
    <ds:schemaRef ds:uri="cc4cf91f-ccb4-42ef-a228-35340cc32a14"/>
    <ds:schemaRef ds:uri="http://schemas.microsoft.com/office/2006/metadata/properties"/>
    <ds:schemaRef ds:uri="12fe3af0-13f8-489e-a2c4-b93171c87869"/>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27773753-B07E-489B-BD0A-AB75D4C706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cf91f-ccb4-42ef-a228-35340cc32a14"/>
    <ds:schemaRef ds:uri="12fe3af0-13f8-489e-a2c4-b93171c878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Series</vt:lpstr>
      <vt:lpstr>Missions</vt:lpstr>
      <vt:lpstr>Track</vt:lpstr>
      <vt:lpstr>Rename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Rahul Arora (rahula2)</cp:lastModifiedBy>
  <cp:revision/>
  <dcterms:created xsi:type="dcterms:W3CDTF">2025-05-05T12:00:47Z</dcterms:created>
  <dcterms:modified xsi:type="dcterms:W3CDTF">2026-06-10T11:40:06Z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